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1892bdd6149436e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dev\FestivalGolpeTierra2026\src\assets\images\galeria\"/>
    </mc:Choice>
  </mc:AlternateContent>
  <xr:revisionPtr revIDLastSave="0" documentId="13_ncr:1_{EBEF0F4C-A549-4949-9A4C-C717761E90F2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atos" sheetId="1" r:id="rId1"/>
    <sheet name="Trabajadores" sheetId="2" r:id="rId2"/>
    <sheet name="PS4TA" sheetId="3" r:id="rId3"/>
    <sheet name="T22" sheetId="7" r:id="rId4"/>
  </sheets>
  <definedNames>
    <definedName name="_xlnm._FilterDatabase" localSheetId="2" hidden="1">PS4TA!$A$6:$R$45</definedName>
    <definedName name="_xlnm._FilterDatabase" localSheetId="3" hidden="1">'T22'!$A$3:$B$134</definedName>
    <definedName name="_xlnm._FilterDatabase" localSheetId="1" hidden="1">Trabajadores!$A$6:$BI$6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" i="1" l="1"/>
  <c r="G27" i="1" l="1"/>
  <c r="G25" i="1"/>
  <c r="G21" i="1" l="1"/>
  <c r="G19" i="1"/>
  <c r="G17" i="1"/>
  <c r="G15" i="1" l="1"/>
  <c r="G1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EVER Y IRMA</author>
  </authors>
  <commentList>
    <comment ref="F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1= DOMICILIADO /
2= NO DOMICILIADO</t>
        </r>
      </text>
    </comment>
    <comment ref="N6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1=SI / 0= NO</t>
        </r>
      </text>
    </comment>
    <comment ref="O6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 xml:space="preserve">NO SE INGRESA DATO
</t>
        </r>
      </text>
    </comment>
    <comment ref="P6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 xml:space="preserve">NO SE INGRESA DATO
</t>
        </r>
      </text>
    </comment>
  </commentList>
</comments>
</file>

<file path=xl/sharedStrings.xml><?xml version="1.0" encoding="utf-8"?>
<sst xmlns="http://schemas.openxmlformats.org/spreadsheetml/2006/main" count="636" uniqueCount="510">
  <si>
    <t>AÑO</t>
  </si>
  <si>
    <t>MES</t>
  </si>
  <si>
    <t>RUTA</t>
  </si>
  <si>
    <t>ESTRUCTURA 7</t>
  </si>
  <si>
    <t>ESTRUCTURA 20</t>
  </si>
  <si>
    <t>RUC</t>
  </si>
  <si>
    <t>TIPO DE DOCUMENTO DEL TRABAJADOR</t>
  </si>
  <si>
    <t>NUMERO DE DOCUEMENTO DEL TRABAJADOR</t>
  </si>
  <si>
    <t>NUMERO DE HORAS ORDINARIAS TRABAJADAS</t>
  </si>
  <si>
    <t>NUMERO DE MINUTOS ORDINARIOS TRABAJADOS</t>
  </si>
  <si>
    <t>NUMERO DE HORAS EN SOBRETIEMPO TRABAJADAS</t>
  </si>
  <si>
    <t>NUMERO DE MINUTOS EN SOBRETIEMPO TRABAJADOS</t>
  </si>
  <si>
    <t>NUMERO DE DIAS DE SUSPENSION DE LABORES</t>
  </si>
  <si>
    <t>TRABAJO SOBRETIEMPO (H. EXTRAS 25%)</t>
  </si>
  <si>
    <t>TRABAJO SOBRETIEMPO (H. EXTRAS 35%)</t>
  </si>
  <si>
    <t>TRABAJO EN FERIADO O DIA DE DESCANSO</t>
  </si>
  <si>
    <t>VACACIONES TRUNCAS</t>
  </si>
  <si>
    <t>REMUNERACION VACAIONAL</t>
  </si>
  <si>
    <t>REMUNERACION O JORNAL BASICO</t>
  </si>
  <si>
    <t>ASIGNACION FAMILIAR</t>
  </si>
  <si>
    <t>BONIFICACIONES REGULARES</t>
  </si>
  <si>
    <t>BONIFICACIONES EXTRAORDINARIAS TEMPORAL LEY 29351 Y 30334</t>
  </si>
  <si>
    <t>GRATIFICACIONES FIESTAS PATRIAS Y NAVIDAD LEY 29351 Y 30334</t>
  </si>
  <si>
    <t>GRATIFICACIONPROPORCIONAL LEY 29351 Y 30334</t>
  </si>
  <si>
    <t>COMPENSACION TIEMPO DE SERVICIOS</t>
  </si>
  <si>
    <t>DEVOLUCION RETENCION EXCESO DE IMPUESTO A LA RENTA 5TA CAT</t>
  </si>
  <si>
    <t>ADELANTO</t>
  </si>
  <si>
    <t>COMISION AFP PORCENTUAL</t>
  </si>
  <si>
    <t>CONAFOVICER</t>
  </si>
  <si>
    <t>RENTA QUINTA CATEGORIA RETENCIONES</t>
  </si>
  <si>
    <t>PRIMA DE SEGURO AFP</t>
  </si>
  <si>
    <t>SPP-APORTACION OBLIGATORIA</t>
  </si>
  <si>
    <t>OTROS APORTACIONES TRAB/PENSIONISTAS</t>
  </si>
  <si>
    <t>RENTA QUINTA CATEGORIA REGULARIZACIONES ANTERIOR</t>
  </si>
  <si>
    <t>POLIZA DE SEGURO D. LEG. 688</t>
  </si>
  <si>
    <t>OTRAS APORTACIONES CARGO EMPLEADOR</t>
  </si>
  <si>
    <t>TIPO DE DOCUMENTO DEL PRESTADOR DE SERVICIOS</t>
  </si>
  <si>
    <t>NUMERO DE DOCUMENTO DEL PRESTADOR DE SERVICIOS - 4TA CATEGORIA</t>
  </si>
  <si>
    <t>APELLIDO PATERNO</t>
  </si>
  <si>
    <t>APELLIDO MATERNO</t>
  </si>
  <si>
    <t>NOMBRES</t>
  </si>
  <si>
    <t>DOMICILIADO</t>
  </si>
  <si>
    <t>CONVENIO PARA EVITAR DOBLE TRIBUTACION</t>
  </si>
  <si>
    <t>TIPO DE COMPROBANTE EMITIDO</t>
  </si>
  <si>
    <t>SERIE DEL COMPROBANTE EMITIDO</t>
  </si>
  <si>
    <t>NUMERO DEL COMPROBANTE EMITIDO</t>
  </si>
  <si>
    <t>MONTO TOTAL DEL SERVICIO</t>
  </si>
  <si>
    <t>FECHA DE EMISION</t>
  </si>
  <si>
    <t>FECHA DE PAGO</t>
  </si>
  <si>
    <t>INDICADOR DE RETENCION DE CUARTA CATEGORIA</t>
  </si>
  <si>
    <t>INDICADOR DE RETENCION A REGIMEN PENSIONARIO</t>
  </si>
  <si>
    <t>IMPORTE DEL APORTE AL REGIMEN PENSIONARIO</t>
  </si>
  <si>
    <t>E001</t>
  </si>
  <si>
    <t>INGRESOS</t>
  </si>
  <si>
    <t>BONIFICACIONES</t>
  </si>
  <si>
    <t>GRATIFICACIONES</t>
  </si>
  <si>
    <t>CONCEPTOS VARIOS</t>
  </si>
  <si>
    <t>DESCUENTOS AL TRABAJADOR</t>
  </si>
  <si>
    <t>APORTES DEL EMPLEADOR</t>
  </si>
  <si>
    <t>ASIGNACIONES</t>
  </si>
  <si>
    <t>APORTACIONES DEL TRABAJADOR</t>
  </si>
  <si>
    <t>CÓDIGO</t>
  </si>
  <si>
    <t>DESCRIPCIÓN DE LOS INGRESOS, TRIBUTOS Y DESCUENTOS</t>
  </si>
  <si>
    <t>ALIMENTACIÓN PRINCIPAL EN DINERO</t>
  </si>
  <si>
    <t>ALIMENTACIÓN PRINCIPAL EN ESPECIE</t>
  </si>
  <si>
    <t>COMISIONES O DESTAJO</t>
  </si>
  <si>
    <t>COMISIONES EVENTUALES A TRABAJADORES</t>
  </si>
  <si>
    <t>TRABAJO EN SOBRETIEMPO (HORAS EXTRAS) 25%</t>
  </si>
  <si>
    <t>TRABAJO EN SOBRETIEMPO (HORAS EXTRAS) 35%</t>
  </si>
  <si>
    <t>TRABAJO EN DÍA FERIADO O DÍA DE DESCANSO</t>
  </si>
  <si>
    <t>INCREMENTO EN SNP 3.3 %</t>
  </si>
  <si>
    <t>INCREMENTO POR AFILIACIÓN A AFP 10.23%</t>
  </si>
  <si>
    <t>INCREMENTO POR AFILIACIÓN A AFP 3.00%</t>
  </si>
  <si>
    <t>PREMIOS POR VENTAS</t>
  </si>
  <si>
    <t>PRESTACIONES ALIMENTARIAS - SUMINISTROS DIRECTOS</t>
  </si>
  <si>
    <t>PRESTACIONES ALIMENTARIAS - SUMINISTROS INDIRECTOS</t>
  </si>
  <si>
    <t>REMUNERACIÓN DÍA DE DESCANSO Y FERIADOS (INCLUIDA LA DEL 1° DE MAYO)</t>
  </si>
  <si>
    <t>REMUNERACIÓN EN ESPECIE</t>
  </si>
  <si>
    <t>COMPENSACIÓN VACACIONAL</t>
  </si>
  <si>
    <t>REMUNERACIÓN VACACIONAL</t>
  </si>
  <si>
    <t>REMUNERACIONES DEVENGADAS</t>
  </si>
  <si>
    <t>SUBVENCIÓN ECONÓMICA MENSUAL (PRACTICANTE SENATI)</t>
  </si>
  <si>
    <t>REMUNERACIÓN O JORNAL BÁSICO</t>
  </si>
  <si>
    <t>REMUNERACIÓN PERMANENTE</t>
  </si>
  <si>
    <t>REMUNERACIÓN DE LOS SOCIOS DE COOPERATIVAS</t>
  </si>
  <si>
    <t>REMUNERACIÓN POR LA HORA DE PERMISO POR LACTANCIA</t>
  </si>
  <si>
    <t>REMUNERACIÓN INTEGRAL ANUAL - CUOTA</t>
  </si>
  <si>
    <t>INGRESOS DEL CONDUCTOR DE LA MICROEMPRESA AFILIADO AL SIS</t>
  </si>
  <si>
    <t>INGRESOS DEL CONDUCTOR DE LA MICROEMPRESA - SEGURO REGULAR</t>
  </si>
  <si>
    <t>RENUNERACIÓN QUE EXCEDE EL VALOR DE MERCADO (DIVIDENDOS)</t>
  </si>
  <si>
    <t>ASIGNACIÓN FAMILIAR</t>
  </si>
  <si>
    <t>ASIGNACIÓN O BONIFICACIÓN POR EDUCACIÓN (1)</t>
  </si>
  <si>
    <t>ASIGNACIÓN POR CUMPLEAÑOS</t>
  </si>
  <si>
    <t>ASIGNACIÓN POR MATRIMONIO</t>
  </si>
  <si>
    <t>ASIGNACIÓN  POR NACIMIENTO DE HIJOS</t>
  </si>
  <si>
    <t>ASIGNACIÓN POR FALLECIMIENTO DE FAMILIARES</t>
  </si>
  <si>
    <t>ASIGNACIÓN POR OTROS MOTIVOS PERSONALES (2)</t>
  </si>
  <si>
    <t>ASIGNACIÓN POR FESTIVIDAD</t>
  </si>
  <si>
    <t>ASIGNACIÓN PROVISIONAL POR DEMANDA DE TRABAJADOR DESPEDIDO</t>
  </si>
  <si>
    <t>ASIGNACIÓN VACACIONAL</t>
  </si>
  <si>
    <t>ASIGNACIÓN POR ESCOLARIDAD 30 JORNALES BASICOS/AÑO</t>
  </si>
  <si>
    <t>ASIGNACIONES OTORGADAS POR ÚNICA VEZ CON MOTIVO DE CIERTAS CONTINGENCIAS</t>
  </si>
  <si>
    <t>ASIGNACIONES OTORGADAS REGULARMENTE</t>
  </si>
  <si>
    <t>ASIGNACIÓN POR FALLECIMIENTO 1 UIT</t>
  </si>
  <si>
    <t>BONIFICACIÓN POR 25 Y 30 AÑOS DE SERVICIOS</t>
  </si>
  <si>
    <t>BONIFICACIÓN POR CIERRE DE PLIEGO</t>
  </si>
  <si>
    <t>BONIFICACIÓN POR PRODUCCIÓN, ALTURA, TURNO, ETC.</t>
  </si>
  <si>
    <t>BONIFICACIÓN POR RIESGO DE CAJA</t>
  </si>
  <si>
    <t>BONIFICACIONES POR TIEMPO DE SERVICIOS</t>
  </si>
  <si>
    <t>BONIFICACIONES CAFAE (3)</t>
  </si>
  <si>
    <t>COMPENSACIÓN POR TRABAJOS EN DÍAS DE DESCANSO Y EN FERIADOS</t>
  </si>
  <si>
    <t>BONIFICACIÓN POR TURNO NOCTURNO 20% JORNAL BASICO</t>
  </si>
  <si>
    <t>BONIFICACIÓN CONTACTO DIRECTO CON AGUA 20% JORNAL BÁSICO</t>
  </si>
  <si>
    <t>BONIFICACION UNIFICADA DE CONSTRUCCIÓN</t>
  </si>
  <si>
    <t>BONIFICACIÓN EXTRAORDINARIA TEMPORAL – LEY 29351 Y 30334</t>
  </si>
  <si>
    <t>BONIFICACIÓN EXTRAORDINARIA PROPORCIONAL – LEY 29351 Y 30334</t>
  </si>
  <si>
    <t>GRATIFICACIONES DE FIESTAS PATRIAS Y NAVIDAD</t>
  </si>
  <si>
    <t>OTRAS GRATIFICACIONES ORDINARIAS</t>
  </si>
  <si>
    <t>GRATIFICACIONES EXTRAORDINARIAS</t>
  </si>
  <si>
    <t>AGUINALDOS DE JULIO Y DICIEMBRE</t>
  </si>
  <si>
    <t>GRATIFICACIONES PROPORCIONAL</t>
  </si>
  <si>
    <t>GRATIFICACIONES DE FIESTAS PATRIAS Y NAVIDAD – LEY 29351 Y 30334</t>
  </si>
  <si>
    <t>GRATIFICACIONES PROPORCIONAL – LEY 29351 Y 30334</t>
  </si>
  <si>
    <t>GRATIFIC FIESTAS PATRIAS Y NAVIDAD TRABAJ PESQ LEY 30334</t>
  </si>
  <si>
    <t>GRATIFICACIONES PROPORCIONAL/TRUNCA TRABAJ PESQUEROS LEY 30334</t>
  </si>
  <si>
    <t>GRATIF FORMA PARTE REMUNER EXCEDE VALOR DE MERCADO (DIVIDENDO)</t>
  </si>
  <si>
    <t>INDEMNIZACIÓN POR DESPIDO INJUSTIFICADO U HOSTILIDAD</t>
  </si>
  <si>
    <t>INDEMNIZACIÓN POR MUERTE O INCAPACIDAD</t>
  </si>
  <si>
    <t>INDEMNIZACIÓN POR RESOLUCIÓN DE CONTRATO SUJETO A MODALIDAD</t>
  </si>
  <si>
    <t>INDEMNIZACIÓN POR VACACIONES NO GOZADAS</t>
  </si>
  <si>
    <t>INDEMNIZACIÓN POR RETENCIÓN INDEBIDA DE CTS ART. 52 D.S Nº 001-97-TR</t>
  </si>
  <si>
    <t>INDEMNIZACIÓN POR NO REINCORPORAR A UN TRABAJADOR CESADO EN UN PROCEDIMIENTO DE CESE COLECTIVO - DS 001-96-TR</t>
  </si>
  <si>
    <t>INDEMNIZACIÓN POR REALIZAR HORAS EXTRAS IMPUESTAS POR EL EMPLEADOR</t>
  </si>
  <si>
    <t>BIENES DE LA PROPIA EMPRESA OTORGADOS PARA EL CONSUMO DEL TRABAJADOR</t>
  </si>
  <si>
    <t>BONO DE PRODUCTIVIDAD</t>
  </si>
  <si>
    <t>CANASTA DE NAVIDAD O SIMILARES</t>
  </si>
  <si>
    <t>COMPENSACIÓN POR TIEMPO DE SERVICIOS</t>
  </si>
  <si>
    <t>GASTOS DE REPRESENTACIÓN (MOVILIDAD, VESTUARIO, VIÁTICOS Y SIMILARES) - LIBRE DISPONIBILIDAD</t>
  </si>
  <si>
    <t>INCENTIVO POR CESE DEL TRABAJADOR (4)</t>
  </si>
  <si>
    <t>LICENCIA CON GOCE DE HABER</t>
  </si>
  <si>
    <t>MOVILIDAD DE LIBRE DISPOSICIÓN</t>
  </si>
  <si>
    <t>MOVILIDAD SUPEDITADA A ASISTENCIA Y QUE CUBRE SÓLO EL TRASLADO</t>
  </si>
  <si>
    <t>PARTICIPACIÓN EN LAS UTILIDADES - PAGADAS ANTES DE LA DECLARACIÓN ANUAL DEL IMPUESTO A LA RENTA</t>
  </si>
  <si>
    <t>PARTICIPACIÓN EN LAS UTILIDADES - PAGADAS DESPUES DE LA DECLARACIÓN ANUAL DEL IMPUESTO A LA RENTA</t>
  </si>
  <si>
    <t>PENSIONES DE JUBILACIÓN O CESANTÍA, MONTEPÍO O INVALIDEZ</t>
  </si>
  <si>
    <t>RECARGO AL CONSUMO</t>
  </si>
  <si>
    <t>REFRIGERIO QUE NO ES ALIMENTACIÓN PRINCIPAL</t>
  </si>
  <si>
    <t>SUBSIDIOS POR MATERNIDAD</t>
  </si>
  <si>
    <t>SUBSIDIOS DE  INCAPACIDAD POR ENFERMEDAD</t>
  </si>
  <si>
    <t>CONDICIONES DE TRABAJO</t>
  </si>
  <si>
    <t>IMPUESTO A LA RENTA DE QUINTA CATEGORÍA ASUMIDO</t>
  </si>
  <si>
    <t>SISTEMA NACIONAL DE PENSIONES ASUMIDO</t>
  </si>
  <si>
    <t>SISTEMA PRIVADO DE PENSIONES ASUMIDO</t>
  </si>
  <si>
    <t>PENSIONES DE JUBILACIÓN O CESANTÍA, MONTEPÍO O INVALIDEZ PENDIENTES POR LIQUIDAR</t>
  </si>
  <si>
    <t>SUMAS O BIENES QUE NO SON DE LIBRE DISPOSICIÓN</t>
  </si>
  <si>
    <t>INGRESOS DE CUARTA CATEGORIA QUE SON CONSIDERADOS DE QUNTA CATEGORIA</t>
  </si>
  <si>
    <t>INGRESOS CUARTA-QUINTA SIN RELACIÓN DE DEPENDENCIA  (9)</t>
  </si>
  <si>
    <t>INGRESO DEL PESCADOR Y PROCESADOR ARTESANAL INDEPENDIENTE - BASE DE CALCULO APORTE ESSALUD - LEY 27177</t>
  </si>
  <si>
    <t>TRANSFERENCIA DIRECTA AL EXPESCADOR - LEY 30003</t>
  </si>
  <si>
    <t>BONIFICACIÓN PRIMA TEXTIL</t>
  </si>
  <si>
    <t>DEVOLUCIÓN RETENCIÓN EXCESO DE IMP. RENTA 5TA CAT.</t>
  </si>
  <si>
    <t>OTRAS ASIGN, BONIF QUE FORMAN PARTE REMUNER Y EXCED VALOR DE MERCADO (DIVIDENDOS)</t>
  </si>
  <si>
    <t>SISTEMA PRIVADO DE PENSIONES - COMISIÓN PORCENTUAL</t>
  </si>
  <si>
    <t>RENTA QUINTA CATEGORÍA RETENCIONES</t>
  </si>
  <si>
    <t>SISTEMA PRIVADO DE PENSIONES - PRIMA DE SEGURO</t>
  </si>
  <si>
    <t>SISTEMA PRIVADO DE PENSIONES - APORTACIÓN OBLIGATORIA</t>
  </si>
  <si>
    <t>SISTEMA PRIVADO DE PENSIONES - APORTACIÓN VOLUNTARIA</t>
  </si>
  <si>
    <t>OTROS APORTACIONES DEL TRABAJADOR / PENSIONISTA</t>
  </si>
  <si>
    <t>RÉGIMEN PENSIONARIO - D.L. 20530</t>
  </si>
  <si>
    <t>RÉGIMEN PENSIONARIO DEL SERV. DIPLOMÁTICO</t>
  </si>
  <si>
    <t>RÉGIMEN DE PENSIONES MILITAR-POLICIAL</t>
  </si>
  <si>
    <t>CUOTA- FRACCIONAMIENTO- FONDO CJMMS - LEY 29741  (2)</t>
  </si>
  <si>
    <t>RENTA CUARTA CATEGORÍA RETENCIONES –CAS</t>
  </si>
  <si>
    <t>SNP – TRABAJADOR INDEPENDIENTE - LEY 29903</t>
  </si>
  <si>
    <t>REP - TRAB. PESQUERO LEY 30003 – RETENCIÓN</t>
  </si>
  <si>
    <t>RENTA QUINTA CATEGORÍA REGUL EJERC ANTERIOR</t>
  </si>
  <si>
    <t>CUOTA SINDICAL</t>
  </si>
  <si>
    <t>DESCUENTO AUTORIZADO U ORDENADO POR MANDATO JUDICIAL</t>
  </si>
  <si>
    <t>TARDANZAS</t>
  </si>
  <si>
    <t>INASISTENCIAS</t>
  </si>
  <si>
    <t xml:space="preserve">OTROS DESCUENTOS NO DEDUCIBLES DE LA BASE IMPONIBLE </t>
  </si>
  <si>
    <t xml:space="preserve">OTROS DESCUENTOS DEDUCIBLES DE LA BASE IMPONIBLE </t>
  </si>
  <si>
    <t>APORTACIONES DE CARGO DEL EMPLEADOR</t>
  </si>
  <si>
    <t>PÓLIZA DE SEGURO - D. LEG. 688</t>
  </si>
  <si>
    <t>PENSIONES – SEGURO COMPLEMENTARIO DE TRABAJO DE RIESGO</t>
  </si>
  <si>
    <t>SENATI</t>
  </si>
  <si>
    <t>OTRAS APORTACIONES DE CARGO DEL EMPLEADOR</t>
  </si>
  <si>
    <t>EPS - SEGURO COMPLEMENTARIO DE TRABAJO DE RIESGO</t>
  </si>
  <si>
    <t>SEGURO INTEGRAL DE SALUD - SIS</t>
  </si>
  <si>
    <t>TABLA 22:  "INGRESOS, TRIBUTOS Y DESCUENTOS"</t>
  </si>
  <si>
    <t>Tabla 3</t>
  </si>
  <si>
    <t>INDEMNIZACIONES</t>
  </si>
  <si>
    <t>Tabla 21</t>
  </si>
  <si>
    <t>Tabla 23</t>
  </si>
  <si>
    <t>DIAS SUBSIDIADOS SEGUN TIPO 21 Y 22</t>
  </si>
  <si>
    <t>Tabla 25</t>
  </si>
  <si>
    <t>ESTRUCTURA PARA CARGA MASIVA DE TRABAJADORES AL PDT PLAME</t>
  </si>
  <si>
    <t>DATOS DE LA JORNADA LABORAL</t>
  </si>
  <si>
    <t>DIAS NO LABORADOS Y SUBSIDIADOS</t>
  </si>
  <si>
    <t>RUC DEL OTRO EMPLEADOR</t>
  </si>
  <si>
    <t>MONTO DE LA RENTA DE QUINTA PERCIBIDA EN EL OTRO EMPLEADOR</t>
  </si>
  <si>
    <t>OTRAS RENTAS DE QUINTA CATEGORÍA</t>
  </si>
  <si>
    <t>TRABAJADOR - TASAS SCTR-ESSALUD Y/O CONVENIO IES</t>
  </si>
  <si>
    <t>TASA</t>
  </si>
  <si>
    <t>INDICADOR:  SCTR-ESSALUD O CONVENIO IES</t>
  </si>
  <si>
    <t>INDICADOR DE APORTE A ASEGURA TU PENSIÓN</t>
  </si>
  <si>
    <t>INDICADOR DE APORTE A +VIDA SEGURO DE ACCIDENTES</t>
  </si>
  <si>
    <t>INDICADOR DE APORTE AL FONDO DE DERECHOS SOCIALES DEL ARTISTA (FDSA) O DE RETENCIÓN DE RÉGIMEN PENSIONARIO -LEY 29903.</t>
  </si>
  <si>
    <t>OTRAS CONDICIONES</t>
  </si>
  <si>
    <t/>
  </si>
  <si>
    <t>DIAS SUBSIDIADOS Y OTROS NO LABORADOS</t>
  </si>
  <si>
    <t>DETALLE DE INGRESOS, TRIBUTOS Y DESCUENTOS</t>
  </si>
  <si>
    <t>TASAS SCTR - ESSALUD Y/O CONVENIO IES</t>
  </si>
  <si>
    <t>TRABAJADOR:</t>
  </si>
  <si>
    <t>DATOS DEL PRESTADOR</t>
  </si>
  <si>
    <t>DETALLE DE COMPROBANTES</t>
  </si>
  <si>
    <t>PRESTADORES DE SERVICIOS CON RENTA DE CUARTA CATEGORÍA</t>
  </si>
  <si>
    <t>APELLIDOS Y NOMBRES DEL TRABAJADOR</t>
  </si>
  <si>
    <t>TRABAJADORES</t>
  </si>
  <si>
    <t>INGRESOS D.LEG. 1057 - CAS</t>
  </si>
  <si>
    <t>REMUNERACIÓN VACACIONAL-D.LEG. 1057-CAS</t>
  </si>
  <si>
    <t>AGUNALDOS DE JULIO Y DICIEMBRE - D.LEG. 1057 - CAS(6 y 7)</t>
  </si>
  <si>
    <t>LICENCIA CON GOCE DE HABER - D.LEG. 1057 - CAS (6)</t>
  </si>
  <si>
    <t>VALORIZACIÓN PRINCIPAL - DEC.LEGISL 1153</t>
  </si>
  <si>
    <t>BONIF POR PUESTO DE RESPONS JEFAT DE DPTO O SERVICIO -DL 1153</t>
  </si>
  <si>
    <t>BONIF POR PUESTO DE RESPONS JEFAT EN ESTABLEC DE SALUD I3, I4, MICRORREDES O REDES -DL 1153</t>
  </si>
  <si>
    <t>BONIF POR PUESTO ESPEC O DE DEDIC EXCLUS EN SERV DE SALUD PÚBLICA - DL 1153</t>
  </si>
  <si>
    <t>BONIF POR PUESTO ESPECIFICO - DL 1153</t>
  </si>
  <si>
    <t>BONIF POR PUESTO EN SERV DE SALUD PUBLICA-DL 1153</t>
  </si>
  <si>
    <t>DESCANSO VACACIONAL -- DL 1153</t>
  </si>
  <si>
    <t>DESCANSO VACACIONAL PROPORC -- DL 1153</t>
  </si>
  <si>
    <t>VAL PRIORIZ ZONA ALEJADA DE FRONTERA - DL 1153</t>
  </si>
  <si>
    <t>VAL PRIORIZ ZONA DE EMERGENCIA  - DL 1153</t>
  </si>
  <si>
    <t>VAL PRIORIZ ATENCIÓN PRIMARIA DE SALUD  - DL 1153</t>
  </si>
  <si>
    <t>VAL PRIORIZ ATENCIÓN ESPECIALIZADA  - DL 1153</t>
  </si>
  <si>
    <t>VAL PRIORIZ ATENCIÓN EN SERV CRÍTICOS  - DL 1153</t>
  </si>
  <si>
    <t>VAL PRIORIZ ATENCIÓN ESPEC DE SOPORTE  - DL 1153</t>
  </si>
  <si>
    <t>SERVICIOS DE GUARDIA</t>
  </si>
  <si>
    <t>SERVV COMPLEMENTARIO EN SALUD - DL 1153</t>
  </si>
  <si>
    <t>ENTREGA ECON POR 25 AÑOS DE SERVICIO - DL 1153</t>
  </si>
  <si>
    <t>ENTREGA ECON POR 30  AÑOS DE SERVICIO - DL 1153</t>
  </si>
  <si>
    <t>REMUNERACIÓN POR DÍAS CON RELACIÓN LABORAL EN EL PERÍODO  DE UN CAS</t>
  </si>
  <si>
    <t>AGUINALDOS DE JULIO Y DICIEMBRE – LEY 29351</t>
  </si>
  <si>
    <t>BONIFICACIÓN ESPECIAL A SERV PUB - DU 037-94 (5)</t>
  </si>
  <si>
    <t>VALORIZACIÓN PRINCIPAL - LEY 30057</t>
  </si>
  <si>
    <t>VALORIZACIÓN AJUSTADA - LEY 30057</t>
  </si>
  <si>
    <t>VALORIZACIÓN PRIORIZADA - LEY 30057</t>
  </si>
  <si>
    <t>ENTREGA ECONÓMICA POR VACACIONES - LEY 30057</t>
  </si>
  <si>
    <t>ENTREGA ECONÓMICA POR VACACIONES TRUNCAS - LEY 30057</t>
  </si>
  <si>
    <t>AGUINALDOS POR FIESTAS PATRIAS Y NAVIDAD- LEY 30057 Y LEY  30334</t>
  </si>
  <si>
    <t>AGUINALDOS TRUNCOS POR FIESTAS PATRIAS Y NAVIDAD- LEY 30057 Y LEY  30334</t>
  </si>
  <si>
    <t>AGUINALDOS PROPORCIONALES POR FIESTAS PATRIAS Y NAVIDAD- LEY 30057 Y LEY  30334</t>
  </si>
  <si>
    <t xml:space="preserve"> INDEMNIZ POR DESTITUCIÓN NULA O INJUSTIFICADA - LEY 30057</t>
  </si>
  <si>
    <t>REMUNERACIÓN INTEGRAL MENSUAL - LEY 29944</t>
  </si>
  <si>
    <t>ASIGNACIÓN POR DIRECTOR DE UNIDAD DE GESTIÓN EDUCATIVA LOCAL - LEY 29944</t>
  </si>
  <si>
    <t>ASIGNACIÓN POR DIRECTOR DE GESTIÓN PEDAGÓGICA - LEY 29944</t>
  </si>
  <si>
    <t>ASIGNACIÓN POR ESPECIALISTA EN EDUCACIÓN - LEY  29944</t>
  </si>
  <si>
    <t>ASIGNACIÓN POR ESPECIALISTA EN INNOVACIÓN E INVESTIGACIÓN - LEY 29944</t>
  </si>
  <si>
    <t>ASIGNACIÓN POR DIRECTOR DE INSTITUCIÓN EDUCATIVA - LEY 29944</t>
  </si>
  <si>
    <t>ASIGNACIÓN POR SUB DIRECTOR DE INSTITUCIÓN EDUCATIVA - LEY 29944</t>
  </si>
  <si>
    <t>ASIGNACIÓN POR CARGOS JERÁRQUICOS DE INSTITUCIÓN EDUCATIVA - LEY  29944</t>
  </si>
  <si>
    <t>ASIGNACIÓN POR SERVICIO EN INSTITUCIÓN  UNIDOCENTE, MULTIGRADO O BILINGÚE - LEY 29944</t>
  </si>
  <si>
    <t>ASIGNACIÓN POR TRABAJO EN ÁMBITO RURAL O DE FRONTERA  -  LEY  29944</t>
  </si>
  <si>
    <t>ASIGNACIÓN POR ASESORÍA. FORMACIÓN, CAPACITACIÓN Y/O ACOMPAÑAMIENTO - LEY 29944</t>
  </si>
  <si>
    <t>ASIGNACIÓN POR TIEMPO DE SERVICIOS - LEY 29944</t>
  </si>
  <si>
    <t>ASIGNACIÓN ESPECIAL A PROFESORES DEL VRAEM - Ley 29944</t>
  </si>
  <si>
    <t>INCENTIVO POR EXCELENCIA PROFESIONAL Y DESEMPEÑO DESTACADO - LEY 29944</t>
  </si>
  <si>
    <t>INCENTIVO POR ESTUDIOS DE POSTGRADO - LEY  29944</t>
  </si>
  <si>
    <t>ASIGNACIÓN DIFERENCIADA POR MAESTRÍA Y DOCTORADO - LEY 29944</t>
  </si>
  <si>
    <t>SUBSIDIO POR LUTO Y SEPELIO - LEY 29944</t>
  </si>
  <si>
    <t>COMPENSACIÓN EXTRAORDINARIA TRANSITORIA – LEY 29944</t>
  </si>
  <si>
    <t>DIFERENCIAL SUBSIDIO PAGAGO POR LA ENTIDAD PÚBLICA - D.LEG. 1057-CAS</t>
  </si>
  <si>
    <t>OTROS DIAS NO laborados y NO SUBSIDIADOS</t>
  </si>
  <si>
    <t>CARRILLO GONZALES ALEJANDRO</t>
  </si>
  <si>
    <t>ESQUIVEL SIFUENTES ROGELIO</t>
  </si>
  <si>
    <t>FLORES UCAÑAN JUAN HUMBERTO</t>
  </si>
  <si>
    <t>GUEVARA REQUE BERTHA ANDREA</t>
  </si>
  <si>
    <t>MEDINA ARMAS RICHAR ALEXANDER</t>
  </si>
  <si>
    <t>ORTEGA CACHO LIDIA BERSELIA</t>
  </si>
  <si>
    <t>PAREDES ARELLANO LILA RAQUEL</t>
  </si>
  <si>
    <t>SOTO ORTEGA JOSE LUIS</t>
  </si>
  <si>
    <t>SOTO ORTEGA JOSE WILMER</t>
  </si>
  <si>
    <t>TAPULLIMA SALINAS JOB</t>
  </si>
  <si>
    <t>TOCTO MERINO ROBERTO</t>
  </si>
  <si>
    <t>VERDE GUEVARA CIRILO</t>
  </si>
  <si>
    <t>17426026</t>
  </si>
  <si>
    <t>72102752</t>
  </si>
  <si>
    <t>09918176</t>
  </si>
  <si>
    <t>45034361</t>
  </si>
  <si>
    <t>43507165</t>
  </si>
  <si>
    <t>43311637</t>
  </si>
  <si>
    <t>18170397</t>
  </si>
  <si>
    <t>18194497</t>
  </si>
  <si>
    <t>18194730</t>
  </si>
  <si>
    <t>77462954</t>
  </si>
  <si>
    <t>43965285</t>
  </si>
  <si>
    <t>RUIZ INCIO ALESSANDRA ARACELI</t>
  </si>
  <si>
    <t>ZETA CHUICA ROSITA THALIA</t>
  </si>
  <si>
    <t>72527941</t>
  </si>
  <si>
    <t>R</t>
  </si>
  <si>
    <t>42867373</t>
  </si>
  <si>
    <t>PAREDES GRANDEZ PAT ROBERSON</t>
  </si>
  <si>
    <t>76422789</t>
  </si>
  <si>
    <t>CABRERA HUACRE JOSELYN KARINA</t>
  </si>
  <si>
    <t>APONTE IGNACIO PAULINO MIGUEL</t>
  </si>
  <si>
    <t>07525918</t>
  </si>
  <si>
    <t>76242343</t>
  </si>
  <si>
    <t>BUSTAMANTE DELGADO JESUS GIORDAN</t>
  </si>
  <si>
    <t>47267524</t>
  </si>
  <si>
    <t>71040128</t>
  </si>
  <si>
    <t>76323405</t>
  </si>
  <si>
    <t>47370026</t>
  </si>
  <si>
    <t>04047234</t>
  </si>
  <si>
    <t>ATAUCURE ZAA SAUL DAVID</t>
  </si>
  <si>
    <t>CARDENAS TELLO DANIEL</t>
  </si>
  <si>
    <t>SURCO HUANCA DIEGO ALBERTO</t>
  </si>
  <si>
    <t>TORRES RIVERA JACINTA</t>
  </si>
  <si>
    <t>DIAZ TORRES SANTOS ISMAEL</t>
  </si>
  <si>
    <t>75691210</t>
  </si>
  <si>
    <t>CULQUI ROJAS CLIFFOR</t>
  </si>
  <si>
    <t>GARRIAZO CARDENAS MIGUEL ANGEL</t>
  </si>
  <si>
    <t>JARAMILLO MINAYA JUAN LADISLAO</t>
  </si>
  <si>
    <t>LLUEN GAMARRA ALEX FERNANDO</t>
  </si>
  <si>
    <t>MONTENEGRO ROJAS EIDEN</t>
  </si>
  <si>
    <t>PALMA MARTINEZ JHUNIOR GUIDO</t>
  </si>
  <si>
    <t>PINEDO SALAS LANBER</t>
  </si>
  <si>
    <t>VEGA TELLO ALEXIS YOMAR</t>
  </si>
  <si>
    <t>40147250</t>
  </si>
  <si>
    <t>44526754</t>
  </si>
  <si>
    <t>10285740</t>
  </si>
  <si>
    <t>46564328</t>
  </si>
  <si>
    <t>40630487</t>
  </si>
  <si>
    <t>72555984</t>
  </si>
  <si>
    <t>42944745</t>
  </si>
  <si>
    <t>74459410</t>
  </si>
  <si>
    <t>CABRERA BERRIO CESAR AUGUSTO</t>
  </si>
  <si>
    <t>41769319</t>
  </si>
  <si>
    <t>-</t>
  </si>
  <si>
    <t>+</t>
  </si>
  <si>
    <t>48279237</t>
  </si>
  <si>
    <t>71757255</t>
  </si>
  <si>
    <t>71967106</t>
  </si>
  <si>
    <t>CANTARO HILARIO DAVID</t>
  </si>
  <si>
    <t>GUEVARA MEDINA DAISON HITLER</t>
  </si>
  <si>
    <t>TELLO DIAZ MILSER</t>
  </si>
  <si>
    <t>OTAIZA FARFAN JESUS NAZARET</t>
  </si>
  <si>
    <t>007810116</t>
  </si>
  <si>
    <t>FERNANDEZ</t>
  </si>
  <si>
    <t>CORDOVA</t>
  </si>
  <si>
    <t>CASTRO</t>
  </si>
  <si>
    <t>RICARDO PERCY</t>
  </si>
  <si>
    <t>71281674</t>
  </si>
  <si>
    <t>74893902</t>
  </si>
  <si>
    <t>008817373</t>
  </si>
  <si>
    <t>60941634</t>
  </si>
  <si>
    <t>CONDORI CUSI ANTONY JUAN</t>
  </si>
  <si>
    <t>JARA PELAEZ ERIKA ESTEFANY</t>
  </si>
  <si>
    <t>LOPEZ QUEVEDO GILBERTO GREGORIO</t>
  </si>
  <si>
    <t>ZARASI MARCA IVAN DANIEL</t>
  </si>
  <si>
    <t>MEDINA</t>
  </si>
  <si>
    <t>ARMAS</t>
  </si>
  <si>
    <t>DIANA CAROLINA</t>
  </si>
  <si>
    <t>ACOSTA QUISPE ELMER RAÚL</t>
  </si>
  <si>
    <t>AREVALO CIEZA JOSE ELI</t>
  </si>
  <si>
    <t>BANDA MONTENEGRO MIGUEL ANGEL</t>
  </si>
  <si>
    <t>CARDENAS AQUINO JAMIE BRIGIT</t>
  </si>
  <si>
    <t>CASTILLO CAMARGO DICK JAVIER</t>
  </si>
  <si>
    <t>DELGADO LOPEZ ANDRES ARTURO</t>
  </si>
  <si>
    <t>ESPINOZA BALVERDE ARNIE FERNANDO</t>
  </si>
  <si>
    <t>ESPINOZA MANCHA FIORELA EUGENIA</t>
  </si>
  <si>
    <t>GUEVARA MEDINA GERLIS JHOBER</t>
  </si>
  <si>
    <t>HUAMAN HUAMAN LESLY LISET</t>
  </si>
  <si>
    <t>HUAMAN INGA SHIHUMARA LILIANA</t>
  </si>
  <si>
    <t>MACALUPU COILA ALEX JOEL</t>
  </si>
  <si>
    <t>MANAY FACIO WALTER ANTONIO</t>
  </si>
  <si>
    <t>MENDOZA LLANTAY OHARA ANDONY</t>
  </si>
  <si>
    <t>PAREDES GRANDEZ ANGEL</t>
  </si>
  <si>
    <t>PONCE GONZALES HILTER</t>
  </si>
  <si>
    <t>RIVAS ALCOCER EDITH</t>
  </si>
  <si>
    <t>RIVERA MONROY MARLON JIOVANI</t>
  </si>
  <si>
    <t>SALAS AMACIFUEN NEHEMIAS</t>
  </si>
  <si>
    <t>SILVA BAUTISTA JOSE ARTURO</t>
  </si>
  <si>
    <t>TORRES VALLES JESUS VALERIO</t>
  </si>
  <si>
    <t>VEGA TELLO MILTON</t>
  </si>
  <si>
    <t>VELA DAHUA EDSON</t>
  </si>
  <si>
    <t>VILELA HUAMAN GLORIA MERCEDES</t>
  </si>
  <si>
    <t>VILLEGAS HUAYTA JORGE LUIS</t>
  </si>
  <si>
    <t>75511530</t>
  </si>
  <si>
    <t>41277788</t>
  </si>
  <si>
    <t>71779094</t>
  </si>
  <si>
    <t>76661930</t>
  </si>
  <si>
    <t>73937149</t>
  </si>
  <si>
    <t>74244966</t>
  </si>
  <si>
    <t>71627871</t>
  </si>
  <si>
    <t>72932295</t>
  </si>
  <si>
    <t>72777443</t>
  </si>
  <si>
    <t>71757256</t>
  </si>
  <si>
    <t>71096307</t>
  </si>
  <si>
    <t>76958428</t>
  </si>
  <si>
    <t>44174925</t>
  </si>
  <si>
    <t>41867753</t>
  </si>
  <si>
    <t>75009532</t>
  </si>
  <si>
    <t>70693578</t>
  </si>
  <si>
    <t>41872005</t>
  </si>
  <si>
    <t>46760622</t>
  </si>
  <si>
    <t>47933369</t>
  </si>
  <si>
    <t>72325313</t>
  </si>
  <si>
    <t>42415024</t>
  </si>
  <si>
    <t>75192353</t>
  </si>
  <si>
    <t>76558900</t>
  </si>
  <si>
    <t>45182499</t>
  </si>
  <si>
    <t>71096309</t>
  </si>
  <si>
    <t>40524050</t>
  </si>
  <si>
    <t>VELA</t>
  </si>
  <si>
    <t>FUENTES</t>
  </si>
  <si>
    <t>DANNER ALEJANDRO</t>
  </si>
  <si>
    <t>MENDOZA</t>
  </si>
  <si>
    <t>TIQUILLAHUANCA</t>
  </si>
  <si>
    <t>JHON CLEIVER</t>
  </si>
  <si>
    <t>PAIVA</t>
  </si>
  <si>
    <t>QUISPE</t>
  </si>
  <si>
    <t>GABRIEL ANTONIO</t>
  </si>
  <si>
    <t>MACO</t>
  </si>
  <si>
    <t>SANDOVAL</t>
  </si>
  <si>
    <t>DARIANA CECILIA</t>
  </si>
  <si>
    <t>MARCOS</t>
  </si>
  <si>
    <t>RIOS</t>
  </si>
  <si>
    <t>CINTHYA PAOLA</t>
  </si>
  <si>
    <t>CHOQUEHUANCA</t>
  </si>
  <si>
    <t>DELGADO</t>
  </si>
  <si>
    <t>IVANNA MILENA</t>
  </si>
  <si>
    <t>MECHATO</t>
  </si>
  <si>
    <t>VALLADARES</t>
  </si>
  <si>
    <t>RONY FELIMON</t>
  </si>
  <si>
    <t>ARTEAGA</t>
  </si>
  <si>
    <t>PEREZ</t>
  </si>
  <si>
    <t>KAROL DEL ROSARIO</t>
  </si>
  <si>
    <t>TEVELEVICH</t>
  </si>
  <si>
    <t>AIXA VICTORIA</t>
  </si>
  <si>
    <t>SANCHEZ</t>
  </si>
  <si>
    <t>SANTA</t>
  </si>
  <si>
    <t>CRUZ ELVA</t>
  </si>
  <si>
    <t>YOMONA</t>
  </si>
  <si>
    <t>CAMACHO</t>
  </si>
  <si>
    <t>FLAVIA XIMENA</t>
  </si>
  <si>
    <t>BOCANEGRA</t>
  </si>
  <si>
    <t>GUEVARA</t>
  </si>
  <si>
    <t>DERJHI AURI</t>
  </si>
  <si>
    <t>CUMPA</t>
  </si>
  <si>
    <t>CISNEROS</t>
  </si>
  <si>
    <t>BRIGTHE NICOLE</t>
  </si>
  <si>
    <t>GONZALES</t>
  </si>
  <si>
    <t>CHU</t>
  </si>
  <si>
    <t>ALEJANDRO FABRICIO</t>
  </si>
  <si>
    <t>VALDERRAMA</t>
  </si>
  <si>
    <t>BENDEZU</t>
  </si>
  <si>
    <t>SUSAN ESTEFANI</t>
  </si>
  <si>
    <t>VELASQUEZ</t>
  </si>
  <si>
    <t>QUIÑONES</t>
  </si>
  <si>
    <t>BLANCA EMILIA</t>
  </si>
  <si>
    <t>CUBAS</t>
  </si>
  <si>
    <t>LOZANO</t>
  </si>
  <si>
    <t xml:space="preserve">ELMER </t>
  </si>
  <si>
    <t>CHAVARRY</t>
  </si>
  <si>
    <t>MONJA</t>
  </si>
  <si>
    <t>GUIDO ENRIQUE</t>
  </si>
  <si>
    <t>HUERTAS</t>
  </si>
  <si>
    <t>SALVATIERRA</t>
  </si>
  <si>
    <t>PAUL MANUEL</t>
  </si>
  <si>
    <t>AGUILAR</t>
  </si>
  <si>
    <t>GOMEZ</t>
  </si>
  <si>
    <t>ROBERT LORENZO</t>
  </si>
  <si>
    <t>CARDENAS</t>
  </si>
  <si>
    <t>TAPAYURI</t>
  </si>
  <si>
    <t xml:space="preserve">DIEGO </t>
  </si>
  <si>
    <t>CAJAMALQUI</t>
  </si>
  <si>
    <t>SORIA</t>
  </si>
  <si>
    <t>ANTHONY HANSEN</t>
  </si>
  <si>
    <t>CARRION</t>
  </si>
  <si>
    <t>TIPIANI</t>
  </si>
  <si>
    <t>ANGELO TEOBALDO</t>
  </si>
  <si>
    <t>COLMENARES</t>
  </si>
  <si>
    <t>ALBERTO</t>
  </si>
  <si>
    <t xml:space="preserve">JEOVANNI </t>
  </si>
  <si>
    <t>ENRIQUEZ</t>
  </si>
  <si>
    <t>LUIS KEVIN</t>
  </si>
  <si>
    <t>YAHUANA</t>
  </si>
  <si>
    <t>ACARO</t>
  </si>
  <si>
    <t xml:space="preserve">BERNALDO </t>
  </si>
  <si>
    <t>MONDRAGON</t>
  </si>
  <si>
    <t>HURTADO</t>
  </si>
  <si>
    <t xml:space="preserve">YSABEL </t>
  </si>
  <si>
    <t>CUCHO</t>
  </si>
  <si>
    <t>PADIN</t>
  </si>
  <si>
    <t>CESAR AUGUSTO</t>
  </si>
  <si>
    <t>FELICIANO</t>
  </si>
  <si>
    <t>ORTIZ</t>
  </si>
  <si>
    <t>JORGE ELIAS</t>
  </si>
  <si>
    <t>CORTEZ</t>
  </si>
  <si>
    <t>SOLEDAD DEL ROSARIO</t>
  </si>
  <si>
    <t>URIBE</t>
  </si>
  <si>
    <t>CHAPOÑAN</t>
  </si>
  <si>
    <t>JOSE MIGUEL</t>
  </si>
  <si>
    <t>PAISIG</t>
  </si>
  <si>
    <t>LLAMO</t>
  </si>
  <si>
    <t xml:space="preserve">CARLOMAN </t>
  </si>
  <si>
    <t>ORTEGA</t>
  </si>
  <si>
    <t>JIMENEZ</t>
  </si>
  <si>
    <t>RAFAEL ALFREDO</t>
  </si>
  <si>
    <t>C:\Users\RR.HH\Desktop\PLAME 2025\POLYBAGS\11. NOVIEMBRE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</si>
</sst>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00000000"/>
    <numFmt numFmtId="166" formatCode="dd/mm/yyyy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9"/>
      <color indexed="81"/>
      <name val="Tahoma"/>
      <family val="2"/>
    </font>
    <font>
      <b/>
      <sz val="9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</fills>
  <borders count="24">
    <border>
      <left/>
      <right/>
      <top/>
      <bottom/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 style="thin">
        <color indexed="64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/>
      <top style="medium">
        <color rgb="FF0070C0"/>
      </top>
      <bottom/>
      <diagonal/>
    </border>
    <border>
      <left/>
      <right/>
      <top style="medium">
        <color rgb="FF0070C0"/>
      </top>
      <bottom/>
      <diagonal/>
    </border>
    <border>
      <left/>
      <right style="medium">
        <color rgb="FF0070C0"/>
      </right>
      <top style="medium">
        <color rgb="FF0070C0"/>
      </top>
      <bottom/>
      <diagonal/>
    </border>
    <border>
      <left style="medium">
        <color rgb="FF0070C0"/>
      </left>
      <right/>
      <top/>
      <bottom/>
      <diagonal/>
    </border>
    <border>
      <left/>
      <right style="medium">
        <color rgb="FF0070C0"/>
      </right>
      <top/>
      <bottom/>
      <diagonal/>
    </border>
    <border>
      <left style="medium">
        <color rgb="FF0070C0"/>
      </left>
      <right/>
      <top/>
      <bottom style="medium">
        <color rgb="FF0070C0"/>
      </bottom>
      <diagonal/>
    </border>
    <border>
      <left/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 style="double">
        <color rgb="FF0070C0"/>
      </left>
      <right style="double">
        <color rgb="FF0070C0"/>
      </right>
      <top style="double">
        <color rgb="FF0070C0"/>
      </top>
      <bottom style="double">
        <color rgb="FF0070C0"/>
      </bottom>
      <diagonal/>
    </border>
    <border>
      <left style="double">
        <color rgb="FF0070C0"/>
      </left>
      <right/>
      <top style="double">
        <color rgb="FF0070C0"/>
      </top>
      <bottom style="double">
        <color rgb="FF0070C0"/>
      </bottom>
      <diagonal/>
    </border>
    <border>
      <left/>
      <right/>
      <top style="double">
        <color rgb="FF0070C0"/>
      </top>
      <bottom style="double">
        <color rgb="FF0070C0"/>
      </bottom>
      <diagonal/>
    </border>
    <border>
      <left/>
      <right style="double">
        <color rgb="FF0070C0"/>
      </right>
      <top style="double">
        <color rgb="FF0070C0"/>
      </top>
      <bottom style="double">
        <color rgb="FF0070C0"/>
      </bottom>
      <diagonal/>
    </border>
    <border>
      <left/>
      <right style="double">
        <color rgb="FF0070C0"/>
      </right>
      <top/>
      <bottom style="double">
        <color rgb="FF0070C0"/>
      </bottom>
      <diagonal/>
    </border>
    <border>
      <left/>
      <right/>
      <top/>
      <bottom style="double">
        <color rgb="FF0070C0"/>
      </bottom>
      <diagonal/>
    </border>
    <border>
      <left style="double">
        <color rgb="FF0070C0"/>
      </left>
      <right style="double">
        <color rgb="FF0070C0"/>
      </right>
      <top style="double">
        <color rgb="FF0070C0"/>
      </top>
      <bottom/>
      <diagonal/>
    </border>
    <border>
      <left style="double">
        <color rgb="FF0070C0"/>
      </left>
      <right style="double">
        <color rgb="FF0070C0"/>
      </right>
      <top/>
      <bottom style="double">
        <color rgb="FF0070C0"/>
      </bottom>
      <diagonal/>
    </border>
  </borders>
  <cellStyleXfs count="3">
    <xf numFmtId="0" fontId="0" fillId="0" borderId="0"/>
    <xf numFmtId="0" fontId="3" fillId="0" borderId="0"/>
    <xf numFmtId="164" fontId="14" fillId="0" borderId="0" applyFon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14" fontId="0" fillId="0" borderId="0" xfId="0" applyNumberFormat="1"/>
    <xf numFmtId="0" fontId="2" fillId="0" borderId="0" xfId="0" applyFont="1"/>
    <xf numFmtId="0" fontId="7" fillId="0" borderId="0" xfId="0" applyFont="1"/>
    <xf numFmtId="0" fontId="4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2" fillId="2" borderId="8" xfId="0" applyFont="1" applyFill="1" applyBorder="1"/>
    <xf numFmtId="0" fontId="2" fillId="2" borderId="9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4" fillId="2" borderId="0" xfId="0" applyFont="1" applyFill="1" applyAlignment="1">
      <alignment horizontal="center" vertical="center"/>
    </xf>
    <xf numFmtId="0" fontId="2" fillId="2" borderId="0" xfId="0" applyFont="1" applyFill="1"/>
    <xf numFmtId="0" fontId="4" fillId="2" borderId="0" xfId="0" applyFont="1" applyFill="1" applyAlignment="1">
      <alignment horizontal="center"/>
    </xf>
    <xf numFmtId="0" fontId="2" fillId="2" borderId="12" xfId="0" applyFont="1" applyFill="1" applyBorder="1"/>
    <xf numFmtId="0" fontId="2" fillId="2" borderId="0" xfId="0" applyFont="1" applyFill="1" applyAlignment="1">
      <alignment horizontal="center" vertical="center"/>
    </xf>
    <xf numFmtId="0" fontId="4" fillId="2" borderId="0" xfId="0" applyFont="1" applyFill="1"/>
    <xf numFmtId="0" fontId="2" fillId="2" borderId="0" xfId="0" applyFont="1" applyFill="1" applyAlignment="1">
      <alignment horizontal="left" indent="4"/>
    </xf>
    <xf numFmtId="0" fontId="2" fillId="2" borderId="0" xfId="0" applyFont="1" applyFill="1" applyAlignment="1">
      <alignment horizontal="left" indent="5"/>
    </xf>
    <xf numFmtId="0" fontId="2" fillId="2" borderId="0" xfId="0" applyFont="1" applyFill="1" applyAlignment="1">
      <alignment horizontal="left" indent="6"/>
    </xf>
    <xf numFmtId="0" fontId="2" fillId="2" borderId="0" xfId="0" applyFont="1" applyFill="1" applyAlignment="1">
      <alignment horizontal="left" indent="7"/>
    </xf>
    <xf numFmtId="0" fontId="4" fillId="2" borderId="0" xfId="0" applyFont="1" applyFill="1" applyAlignment="1">
      <alignment horizontal="left" indent="7"/>
    </xf>
    <xf numFmtId="0" fontId="4" fillId="2" borderId="11" xfId="0" applyFont="1" applyFill="1" applyBorder="1"/>
    <xf numFmtId="0" fontId="2" fillId="2" borderId="11" xfId="0" applyFont="1" applyFill="1" applyBorder="1" applyAlignment="1">
      <alignment horizontal="left" indent="6"/>
    </xf>
    <xf numFmtId="0" fontId="2" fillId="2" borderId="13" xfId="0" applyFont="1" applyFill="1" applyBorder="1" applyAlignment="1">
      <alignment horizontal="left" indent="6"/>
    </xf>
    <xf numFmtId="0" fontId="2" fillId="2" borderId="14" xfId="0" applyFont="1" applyFill="1" applyBorder="1" applyAlignment="1">
      <alignment horizontal="left" indent="6"/>
    </xf>
    <xf numFmtId="0" fontId="2" fillId="2" borderId="14" xfId="0" applyFont="1" applyFill="1" applyBorder="1"/>
    <xf numFmtId="0" fontId="2" fillId="2" borderId="15" xfId="0" applyFont="1" applyFill="1" applyBorder="1"/>
    <xf numFmtId="0" fontId="4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 vertical="center" wrapText="1"/>
    </xf>
    <xf numFmtId="0" fontId="11" fillId="2" borderId="16" xfId="0" applyFont="1" applyFill="1" applyBorder="1" applyAlignment="1">
      <alignment horizontal="center" vertical="center" wrapText="1"/>
    </xf>
    <xf numFmtId="0" fontId="11" fillId="2" borderId="16" xfId="0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0" xfId="0" applyFont="1" applyBorder="1"/>
    <xf numFmtId="0" fontId="10" fillId="0" borderId="0" xfId="0" applyFont="1" applyAlignment="1">
      <alignment vertical="center" wrapText="1"/>
    </xf>
    <xf numFmtId="0" fontId="11" fillId="2" borderId="19" xfId="0" applyFont="1" applyFill="1" applyBorder="1" applyAlignment="1">
      <alignment horizontal="center" vertical="center" wrapText="1"/>
    </xf>
    <xf numFmtId="0" fontId="11" fillId="2" borderId="23" xfId="0" applyFont="1" applyFill="1" applyBorder="1" applyAlignment="1">
      <alignment horizontal="center" vertical="center" wrapText="1"/>
    </xf>
    <xf numFmtId="0" fontId="0" fillId="4" borderId="0" xfId="0" applyFill="1"/>
    <xf numFmtId="0" fontId="11" fillId="4" borderId="16" xfId="0" applyFont="1" applyFill="1" applyBorder="1" applyAlignment="1">
      <alignment horizontal="center" vertical="center" wrapText="1"/>
    </xf>
    <xf numFmtId="0" fontId="4" fillId="2" borderId="16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2" fillId="0" borderId="0" xfId="0" applyFont="1" applyAlignment="1">
      <alignment vertical="center"/>
    </xf>
    <xf numFmtId="0" fontId="4" fillId="2" borderId="22" xfId="0" applyFont="1" applyFill="1" applyBorder="1" applyAlignment="1">
      <alignment horizontal="center" vertical="center"/>
    </xf>
    <xf numFmtId="2" fontId="2" fillId="0" borderId="0" xfId="0" applyNumberFormat="1" applyFont="1"/>
    <xf numFmtId="14" fontId="7" fillId="0" borderId="0" xfId="0" applyNumberFormat="1" applyFont="1" applyAlignment="1">
      <alignment horizontal="center"/>
    </xf>
    <xf numFmtId="14" fontId="11" fillId="2" borderId="16" xfId="0" applyNumberFormat="1" applyFont="1" applyFill="1" applyBorder="1" applyAlignment="1">
      <alignment horizontal="center" vertical="center" wrapText="1"/>
    </xf>
    <xf numFmtId="0" fontId="11" fillId="5" borderId="16" xfId="0" applyFont="1" applyFill="1" applyBorder="1" applyAlignment="1">
      <alignment horizontal="center" vertical="center"/>
    </xf>
    <xf numFmtId="0" fontId="11" fillId="6" borderId="16" xfId="0" applyFont="1" applyFill="1" applyBorder="1" applyAlignment="1">
      <alignment horizontal="center" vertical="center" wrapText="1"/>
    </xf>
    <xf numFmtId="0" fontId="11" fillId="6" borderId="16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5" fillId="2" borderId="0" xfId="0" applyFont="1" applyFill="1"/>
    <xf numFmtId="0" fontId="16" fillId="2" borderId="0" xfId="0" applyFont="1" applyFill="1" applyAlignment="1">
      <alignment horizontal="center"/>
    </xf>
    <xf numFmtId="0" fontId="17" fillId="2" borderId="16" xfId="0" applyFont="1" applyFill="1" applyBorder="1" applyAlignment="1">
      <alignment horizontal="center" vertical="center" wrapText="1"/>
    </xf>
    <xf numFmtId="0" fontId="17" fillId="2" borderId="16" xfId="0" applyFont="1" applyFill="1" applyBorder="1" applyAlignment="1">
      <alignment horizontal="center" vertical="center"/>
    </xf>
    <xf numFmtId="2" fontId="15" fillId="2" borderId="0" xfId="0" applyNumberFormat="1" applyFont="1" applyFill="1"/>
    <xf numFmtId="0" fontId="11" fillId="4" borderId="16" xfId="0" applyFont="1" applyFill="1" applyBorder="1" applyAlignment="1">
      <alignment horizontal="center" vertical="center"/>
    </xf>
    <xf numFmtId="0" fontId="11" fillId="7" borderId="16" xfId="0" applyFont="1" applyFill="1" applyBorder="1" applyAlignment="1">
      <alignment horizontal="center" vertical="center" wrapText="1"/>
    </xf>
    <xf numFmtId="0" fontId="11" fillId="9" borderId="16" xfId="0" applyFont="1" applyFill="1" applyBorder="1" applyAlignment="1">
      <alignment horizontal="center" vertical="center" wrapText="1"/>
    </xf>
    <xf numFmtId="0" fontId="11" fillId="10" borderId="16" xfId="0" applyFont="1" applyFill="1" applyBorder="1" applyAlignment="1">
      <alignment horizontal="center" vertical="center" wrapText="1"/>
    </xf>
    <xf numFmtId="0" fontId="11" fillId="11" borderId="16" xfId="0" applyFont="1" applyFill="1" applyBorder="1" applyAlignment="1">
      <alignment horizontal="center" vertical="center" wrapText="1"/>
    </xf>
    <xf numFmtId="0" fontId="11" fillId="12" borderId="16" xfId="0" applyFont="1" applyFill="1" applyBorder="1" applyAlignment="1">
      <alignment horizontal="center" vertical="center"/>
    </xf>
    <xf numFmtId="0" fontId="11" fillId="13" borderId="16" xfId="0" applyFont="1" applyFill="1" applyBorder="1" applyAlignment="1">
      <alignment horizontal="center" vertical="center"/>
    </xf>
    <xf numFmtId="0" fontId="11" fillId="8" borderId="16" xfId="0" applyFont="1" applyFill="1" applyBorder="1" applyAlignment="1">
      <alignment horizontal="center" vertical="center" wrapText="1"/>
    </xf>
    <xf numFmtId="0" fontId="11" fillId="14" borderId="16" xfId="0" applyFont="1" applyFill="1" applyBorder="1" applyAlignment="1">
      <alignment horizontal="center" vertical="center" wrapText="1"/>
    </xf>
    <xf numFmtId="0" fontId="11" fillId="15" borderId="16" xfId="0" applyFont="1" applyFill="1" applyBorder="1" applyAlignment="1">
      <alignment horizontal="center" vertical="center" wrapText="1"/>
    </xf>
    <xf numFmtId="0" fontId="11" fillId="16" borderId="16" xfId="0" applyFont="1" applyFill="1" applyBorder="1" applyAlignment="1">
      <alignment horizontal="center" vertical="center" wrapText="1"/>
    </xf>
    <xf numFmtId="0" fontId="11" fillId="17" borderId="16" xfId="0" applyFont="1" applyFill="1" applyBorder="1" applyAlignment="1">
      <alignment horizontal="center" vertical="center" wrapText="1"/>
    </xf>
    <xf numFmtId="0" fontId="11" fillId="18" borderId="16" xfId="0" applyFont="1" applyFill="1" applyBorder="1" applyAlignment="1">
      <alignment horizontal="center" vertical="center" wrapText="1"/>
    </xf>
    <xf numFmtId="0" fontId="11" fillId="19" borderId="16" xfId="0" applyFont="1" applyFill="1" applyBorder="1" applyAlignment="1">
      <alignment horizontal="center" vertical="center" wrapText="1"/>
    </xf>
    <xf numFmtId="4" fontId="2" fillId="0" borderId="0" xfId="0" applyNumberFormat="1" applyFont="1"/>
    <xf numFmtId="0" fontId="2" fillId="0" borderId="0" xfId="0" applyFont="1" applyAlignment="1">
      <alignment horizontal="left"/>
    </xf>
    <xf numFmtId="0" fontId="11" fillId="20" borderId="16" xfId="0" applyFont="1" applyFill="1" applyBorder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/>
    </xf>
    <xf numFmtId="0" fontId="10" fillId="0" borderId="0" xfId="0" applyFont="1" applyAlignment="1">
      <alignment horizontal="center" vertical="center"/>
    </xf>
    <xf numFmtId="165" fontId="0" fillId="5" borderId="0" xfId="0" applyNumberFormat="1" applyFill="1"/>
    <xf numFmtId="2" fontId="0" fillId="5" borderId="0" xfId="0" applyNumberFormat="1" applyFill="1"/>
    <xf numFmtId="166" fontId="0" fillId="5" borderId="0" xfId="0" applyNumberFormat="1" applyFill="1"/>
    <xf numFmtId="0" fontId="2" fillId="5" borderId="0" xfId="0" applyFont="1" applyFill="1"/>
    <xf numFmtId="0" fontId="2" fillId="5" borderId="0" xfId="0" applyFont="1" applyFill="1" applyAlignment="1">
      <alignment horizontal="center"/>
    </xf>
    <xf numFmtId="165" fontId="2" fillId="5" borderId="0" xfId="0" applyNumberFormat="1" applyFont="1" applyFill="1"/>
    <xf numFmtId="2" fontId="2" fillId="5" borderId="0" xfId="0" applyNumberFormat="1" applyFont="1" applyFill="1"/>
    <xf numFmtId="166" fontId="2" fillId="5" borderId="0" xfId="0" applyNumberFormat="1" applyFont="1" applyFill="1"/>
    <xf numFmtId="0" fontId="8" fillId="0" borderId="5" xfId="0" applyFont="1" applyBorder="1" applyAlignment="1">
      <alignment horizontal="left" vertical="center" wrapText="1"/>
    </xf>
    <xf numFmtId="0" fontId="8" fillId="0" borderId="6" xfId="0" applyFont="1" applyBorder="1" applyAlignment="1">
      <alignment horizontal="left" vertical="center" wrapText="1"/>
    </xf>
    <xf numFmtId="0" fontId="8" fillId="0" borderId="7" xfId="0" applyFont="1" applyBorder="1" applyAlignment="1">
      <alignment horizontal="left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4" fillId="2" borderId="16" xfId="0" applyFont="1" applyFill="1" applyBorder="1" applyAlignment="1">
      <alignment horizontal="center" vertical="center"/>
    </xf>
    <xf numFmtId="0" fontId="12" fillId="2" borderId="17" xfId="0" applyFont="1" applyFill="1" applyBorder="1" applyAlignment="1">
      <alignment horizontal="center" vertical="center"/>
    </xf>
    <xf numFmtId="0" fontId="12" fillId="2" borderId="18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11" fillId="2" borderId="16" xfId="0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 wrapText="1"/>
    </xf>
    <xf numFmtId="0" fontId="10" fillId="2" borderId="18" xfId="0" applyFont="1" applyFill="1" applyBorder="1" applyAlignment="1">
      <alignment horizontal="center" vertical="center" wrapText="1"/>
    </xf>
    <xf numFmtId="0" fontId="10" fillId="2" borderId="19" xfId="0" applyFont="1" applyFill="1" applyBorder="1" applyAlignment="1">
      <alignment horizontal="center" vertical="center" wrapText="1"/>
    </xf>
  </cellXfs>
  <cellStyles count="3">
    <cellStyle name="Millares 2" xfId="2" xr:uid="{6503381F-271C-414E-93E5-546207CE59C3}"/>
    <cellStyle name="Normal" xfId="0" builtinId="0"/>
    <cellStyle name="Normal 2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8"/>
  <sheetViews>
    <sheetView showGridLines="0" workbookViewId="0">
      <selection activeCell="G27" sqref="G27"/>
    </sheetView>
  </sheetViews>
  <sheetFormatPr baseColWidth="10" defaultRowHeight="15" x14ac:dyDescent="0.25"/>
  <cols>
    <col min="2" max="2" width="4.7109375" customWidth="1"/>
    <col min="5" max="5" width="9.42578125" customWidth="1"/>
    <col min="6" max="6" width="13.28515625" customWidth="1"/>
    <col min="7" max="7" width="35.7109375" customWidth="1"/>
    <col min="8" max="8" width="4.7109375" customWidth="1"/>
  </cols>
  <sheetData>
    <row r="1" spans="1:8" ht="15.75" thickBot="1" x14ac:dyDescent="0.3">
      <c r="A1" s="33"/>
      <c r="B1" s="33"/>
      <c r="C1" s="33"/>
      <c r="D1" s="33"/>
      <c r="E1" s="33"/>
      <c r="F1" s="33"/>
      <c r="G1" s="33"/>
      <c r="H1" s="33"/>
    </row>
    <row r="2" spans="1:8" ht="35.1" customHeight="1" thickBot="1" x14ac:dyDescent="0.3">
      <c r="B2" s="91" t="s">
        <v>196</v>
      </c>
      <c r="C2" s="92"/>
      <c r="D2" s="92"/>
      <c r="E2" s="92"/>
      <c r="F2" s="92"/>
      <c r="G2" s="92"/>
      <c r="H2" s="93"/>
    </row>
    <row r="3" spans="1:8" ht="15.75" thickBot="1" x14ac:dyDescent="0.3">
      <c r="A3" s="7"/>
      <c r="B3" s="9"/>
      <c r="C3" s="9"/>
      <c r="D3" s="9"/>
      <c r="E3" s="9"/>
      <c r="F3" s="9"/>
      <c r="G3" s="9"/>
      <c r="H3" s="9"/>
    </row>
    <row r="4" spans="1:8" ht="15.75" thickBot="1" x14ac:dyDescent="0.3">
      <c r="B4" s="10"/>
      <c r="C4" s="11"/>
      <c r="D4" s="11"/>
      <c r="E4" s="11"/>
      <c r="F4" s="11"/>
      <c r="G4" s="11"/>
      <c r="H4" s="12"/>
    </row>
    <row r="5" spans="1:8" ht="15.75" thickBot="1" x14ac:dyDescent="0.3">
      <c r="B5" s="13"/>
      <c r="C5" s="14" t="s">
        <v>0</v>
      </c>
      <c r="D5" s="31">
        <v>2025</v>
      </c>
      <c r="E5" s="15"/>
      <c r="F5" s="16" t="s">
        <v>5</v>
      </c>
      <c r="G5" s="31">
        <v>20484194026</v>
      </c>
      <c r="H5" s="17"/>
    </row>
    <row r="6" spans="1:8" ht="9.9499999999999993" customHeight="1" thickBot="1" x14ac:dyDescent="0.3">
      <c r="B6" s="13"/>
      <c r="C6" s="18"/>
      <c r="D6" s="15"/>
      <c r="E6" s="15"/>
      <c r="F6" s="15"/>
      <c r="G6" s="15"/>
      <c r="H6" s="17"/>
    </row>
    <row r="7" spans="1:8" ht="24" customHeight="1" thickBot="1" x14ac:dyDescent="0.3">
      <c r="B7" s="13"/>
      <c r="C7" s="14" t="s">
        <v>1</v>
      </c>
      <c r="D7" s="31">
        <v>11</v>
      </c>
      <c r="E7" s="15"/>
      <c r="F7" s="14" t="s">
        <v>2</v>
      </c>
      <c r="G7" s="32" t="s">
        <v>509</v>
      </c>
      <c r="H7" s="17"/>
    </row>
    <row r="8" spans="1:8" ht="15.75" thickBot="1" x14ac:dyDescent="0.3">
      <c r="B8" s="13"/>
      <c r="C8" s="15"/>
      <c r="D8" s="15"/>
      <c r="E8" s="15"/>
      <c r="F8" s="15"/>
      <c r="G8" s="15"/>
      <c r="H8" s="17"/>
    </row>
    <row r="9" spans="1:8" ht="15.75" thickBot="1" x14ac:dyDescent="0.3">
      <c r="B9" s="13"/>
      <c r="C9" s="88" t="s">
        <v>213</v>
      </c>
      <c r="D9" s="89"/>
      <c r="E9" s="89"/>
      <c r="F9" s="89"/>
      <c r="G9" s="90"/>
      <c r="H9" s="17"/>
    </row>
    <row r="10" spans="1:8" ht="15.75" thickBot="1" x14ac:dyDescent="0.3">
      <c r="B10" s="13"/>
      <c r="C10" s="15"/>
      <c r="D10" s="15"/>
      <c r="E10" s="15"/>
      <c r="F10" s="15"/>
      <c r="G10" s="15"/>
      <c r="H10" s="17"/>
    </row>
    <row r="11" spans="1:8" ht="15.75" thickBot="1" x14ac:dyDescent="0.3">
      <c r="B11" s="13"/>
      <c r="C11" s="19" t="s">
        <v>197</v>
      </c>
      <c r="D11" s="19"/>
      <c r="E11" s="19"/>
      <c r="F11" s="19"/>
      <c r="G11" s="31" t="str">
        <f>"0601"&amp;D5&amp;TEXT(D7,"0#")&amp;G5&amp;".jor"</f>
        <v>060120251120484194026.jor</v>
      </c>
      <c r="H11" s="17"/>
    </row>
    <row r="12" spans="1:8" ht="9.9499999999999993" customHeight="1" thickBot="1" x14ac:dyDescent="0.3">
      <c r="B12" s="13"/>
      <c r="C12" s="20"/>
      <c r="D12" s="20"/>
      <c r="E12" s="20"/>
      <c r="F12" s="21"/>
      <c r="G12" s="15"/>
      <c r="H12" s="17"/>
    </row>
    <row r="13" spans="1:8" ht="15.75" thickBot="1" x14ac:dyDescent="0.3">
      <c r="B13" s="13"/>
      <c r="C13" s="19" t="s">
        <v>210</v>
      </c>
      <c r="D13" s="19"/>
      <c r="E13" s="19"/>
      <c r="F13" s="19"/>
      <c r="G13" s="31" t="str">
        <f>"0601"&amp;D5&amp;TEXT(D7,"0#")&amp;G5&amp;".snl"</f>
        <v>060120251120484194026.snl</v>
      </c>
      <c r="H13" s="17"/>
    </row>
    <row r="14" spans="1:8" ht="9.9499999999999993" customHeight="1" thickBot="1" x14ac:dyDescent="0.3">
      <c r="B14" s="13"/>
      <c r="C14" s="22" t="s">
        <v>209</v>
      </c>
      <c r="D14" s="22"/>
      <c r="E14" s="22"/>
      <c r="F14" s="23"/>
      <c r="G14" s="15"/>
      <c r="H14" s="17"/>
    </row>
    <row r="15" spans="1:8" ht="15.75" thickBot="1" x14ac:dyDescent="0.3">
      <c r="B15" s="13"/>
      <c r="C15" s="19" t="s">
        <v>211</v>
      </c>
      <c r="D15" s="19"/>
      <c r="E15" s="19"/>
      <c r="F15" s="19"/>
      <c r="G15" s="31" t="str">
        <f>"0601"&amp;D5&amp;TEXT(D7,"0#")&amp;G5&amp;".rem"</f>
        <v>060120251120484194026.rem</v>
      </c>
      <c r="H15" s="17"/>
    </row>
    <row r="16" spans="1:8" ht="9.9499999999999993" customHeight="1" thickBot="1" x14ac:dyDescent="0.3">
      <c r="B16" s="13"/>
      <c r="C16" s="22" t="s">
        <v>209</v>
      </c>
      <c r="D16" s="22"/>
      <c r="E16" s="22"/>
      <c r="F16" s="23"/>
      <c r="G16" s="15"/>
      <c r="H16" s="17"/>
    </row>
    <row r="17" spans="2:8" ht="15.75" thickBot="1" x14ac:dyDescent="0.3">
      <c r="B17" s="13"/>
      <c r="C17" s="19" t="s">
        <v>201</v>
      </c>
      <c r="D17" s="19"/>
      <c r="E17" s="19"/>
      <c r="F17" s="19"/>
      <c r="G17" s="31" t="str">
        <f>"0601"&amp;D5&amp;TEXT(D7,"0#")&amp;G5&amp;".or5"</f>
        <v>060120251120484194026.or5</v>
      </c>
      <c r="H17" s="17"/>
    </row>
    <row r="18" spans="2:8" ht="9.9499999999999993" customHeight="1" thickBot="1" x14ac:dyDescent="0.3">
      <c r="B18" s="13"/>
      <c r="C18" s="22" t="s">
        <v>209</v>
      </c>
      <c r="D18" s="22"/>
      <c r="E18" s="22"/>
      <c r="F18" s="24"/>
      <c r="G18" s="15"/>
      <c r="H18" s="17"/>
    </row>
    <row r="19" spans="2:8" ht="15.75" thickBot="1" x14ac:dyDescent="0.3">
      <c r="B19" s="13"/>
      <c r="C19" s="19" t="s">
        <v>212</v>
      </c>
      <c r="D19" s="19"/>
      <c r="E19" s="19"/>
      <c r="F19" s="19"/>
      <c r="G19" s="31" t="str">
        <f>"0601"&amp;D5&amp;TEXT(D7,"0#")&amp;G5&amp;".tas"</f>
        <v>060120251120484194026.tas</v>
      </c>
      <c r="H19" s="17"/>
    </row>
    <row r="20" spans="2:8" ht="9.9499999999999993" customHeight="1" thickBot="1" x14ac:dyDescent="0.3">
      <c r="B20" s="13"/>
      <c r="C20" s="22" t="s">
        <v>209</v>
      </c>
      <c r="D20" s="22"/>
      <c r="E20" s="22"/>
      <c r="F20" s="24"/>
      <c r="G20" s="15"/>
      <c r="H20" s="17"/>
    </row>
    <row r="21" spans="2:8" ht="15.75" thickBot="1" x14ac:dyDescent="0.3">
      <c r="B21" s="13"/>
      <c r="C21" s="19" t="s">
        <v>208</v>
      </c>
      <c r="D21" s="19"/>
      <c r="E21" s="19"/>
      <c r="F21" s="19"/>
      <c r="G21" s="31" t="str">
        <f>"0601"&amp;D5&amp;TEXT(D7,"0#")&amp;G5&amp;".toc"</f>
        <v>060120251120484194026.toc</v>
      </c>
      <c r="H21" s="17"/>
    </row>
    <row r="22" spans="2:8" ht="15.75" thickBot="1" x14ac:dyDescent="0.3">
      <c r="B22" s="25"/>
      <c r="C22" s="19"/>
      <c r="D22" s="19"/>
      <c r="E22" s="19"/>
      <c r="F22" s="19"/>
      <c r="G22" s="14"/>
      <c r="H22" s="17"/>
    </row>
    <row r="23" spans="2:8" ht="15.75" thickBot="1" x14ac:dyDescent="0.3">
      <c r="B23" s="26"/>
      <c r="C23" s="88" t="s">
        <v>216</v>
      </c>
      <c r="D23" s="89"/>
      <c r="E23" s="89"/>
      <c r="F23" s="89"/>
      <c r="G23" s="90"/>
      <c r="H23" s="17"/>
    </row>
    <row r="24" spans="2:8" ht="15.75" thickBot="1" x14ac:dyDescent="0.3">
      <c r="B24" s="26"/>
      <c r="C24" s="22"/>
      <c r="D24" s="22"/>
      <c r="E24" s="22"/>
      <c r="F24" s="23"/>
      <c r="G24" s="15"/>
      <c r="H24" s="17"/>
    </row>
    <row r="25" spans="2:8" ht="15.75" thickBot="1" x14ac:dyDescent="0.3">
      <c r="B25" s="13"/>
      <c r="C25" s="19" t="s">
        <v>214</v>
      </c>
      <c r="D25" s="19"/>
      <c r="E25" s="19"/>
      <c r="F25" s="19"/>
      <c r="G25" s="31" t="str">
        <f>"0601"&amp;D5&amp;TEXT(D7,"0#")&amp;G5&amp;".ps4"</f>
        <v>060120251120484194026.ps4</v>
      </c>
      <c r="H25" s="17"/>
    </row>
    <row r="26" spans="2:8" ht="9.9499999999999993" customHeight="1" thickBot="1" x14ac:dyDescent="0.3">
      <c r="B26" s="13"/>
      <c r="C26" s="22" t="s">
        <v>209</v>
      </c>
      <c r="D26" s="22"/>
      <c r="E26" s="22"/>
      <c r="F26" s="23"/>
      <c r="G26" s="15"/>
      <c r="H26" s="17"/>
    </row>
    <row r="27" spans="2:8" ht="15.75" thickBot="1" x14ac:dyDescent="0.3">
      <c r="B27" s="13"/>
      <c r="C27" s="19" t="s">
        <v>215</v>
      </c>
      <c r="D27" s="19"/>
      <c r="E27" s="19"/>
      <c r="F27" s="19"/>
      <c r="G27" s="31" t="str">
        <f>"0601"&amp;D5&amp;TEXT(D7,"0#")&amp;G5&amp;".4ta"</f>
        <v>060120251120484194026.4ta</v>
      </c>
      <c r="H27" s="17"/>
    </row>
    <row r="28" spans="2:8" ht="15.75" thickBot="1" x14ac:dyDescent="0.3">
      <c r="B28" s="27" t="s">
        <v>209</v>
      </c>
      <c r="C28" s="28"/>
      <c r="D28" s="28"/>
      <c r="E28" s="28"/>
      <c r="F28" s="28"/>
      <c r="G28" s="29"/>
      <c r="H28" s="30"/>
    </row>
  </sheetData>
  <mergeCells count="3">
    <mergeCell ref="C23:G23"/>
    <mergeCell ref="B2:H2"/>
    <mergeCell ref="C9:G9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H71"/>
  <sheetViews>
    <sheetView tabSelected="1" zoomScaleNormal="100" workbookViewId="0">
      <pane xSplit="3" ySplit="6" topLeftCell="BA46" activePane="bottomRight" state="frozen"/>
      <selection pane="topRight" activeCell="D1" sqref="D1"/>
      <selection pane="bottomLeft" activeCell="A7" sqref="A7"/>
      <selection pane="bottomRight" activeCell="BL51" sqref="BL51"/>
    </sheetView>
  </sheetViews>
  <sheetFormatPr baseColWidth="10" defaultColWidth="11.42578125" defaultRowHeight="15" x14ac:dyDescent="0.25"/>
  <cols>
    <col min="1" max="1" width="9.85546875" style="45" customWidth="1"/>
    <col min="2" max="2" width="14.7109375" style="45" customWidth="1"/>
    <col min="3" max="3" width="35" style="45" bestFit="1" customWidth="1"/>
    <col min="4" max="4" width="14.7109375" style="45" customWidth="1"/>
    <col min="5" max="7" width="14.7109375" style="3" customWidth="1"/>
    <col min="8" max="8" width="13.42578125" style="3" customWidth="1"/>
    <col min="9" max="9" width="14.85546875" style="3" customWidth="1"/>
    <col min="10" max="13" width="17.5703125" style="3" customWidth="1"/>
    <col min="14" max="14" width="25.7109375" style="3" customWidth="1"/>
    <col min="15" max="15" width="17.5703125" style="3" customWidth="1"/>
    <col min="16" max="17" width="14.7109375" style="3" customWidth="1"/>
    <col min="18" max="19" width="14.7109375" style="45" customWidth="1"/>
    <col min="20" max="24" width="16.140625" style="3" customWidth="1"/>
    <col min="25" max="26" width="14.7109375" style="3" customWidth="1"/>
    <col min="27" max="27" width="16.28515625" style="3" customWidth="1"/>
    <col min="28" max="28" width="17.5703125" style="3" customWidth="1"/>
    <col min="29" max="33" width="14.7109375" style="3" customWidth="1"/>
    <col min="34" max="34" width="16.5703125" style="3" customWidth="1"/>
    <col min="35" max="36" width="17.140625" style="3" customWidth="1"/>
    <col min="37" max="37" width="15.5703125" style="3" customWidth="1"/>
    <col min="38" max="40" width="18.140625" style="3" customWidth="1"/>
    <col min="41" max="45" width="14.7109375" style="3" customWidth="1"/>
    <col min="46" max="47" width="18.42578125" style="3" customWidth="1"/>
    <col min="48" max="52" width="14.7109375" style="3" customWidth="1"/>
    <col min="53" max="53" width="14.7109375" style="55" customWidth="1"/>
    <col min="54" max="60" width="14.7109375" style="3" customWidth="1"/>
    <col min="61" max="61" width="11.42578125" style="3" customWidth="1"/>
    <col min="62" max="16384" width="11.42578125" style="3"/>
  </cols>
  <sheetData>
    <row r="1" spans="1:60" ht="12" customHeight="1" thickBot="1" x14ac:dyDescent="0.3">
      <c r="A1" s="6"/>
      <c r="B1" s="6"/>
      <c r="C1" s="6"/>
      <c r="F1" s="6"/>
      <c r="G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54"/>
      <c r="BB1" s="6"/>
      <c r="BC1" s="6"/>
      <c r="BD1" s="6"/>
      <c r="BE1" s="6"/>
      <c r="BF1" s="6"/>
      <c r="BG1" s="6"/>
      <c r="BH1" s="6"/>
    </row>
    <row r="2" spans="1:60" ht="23.25" customHeight="1" thickTop="1" thickBot="1" x14ac:dyDescent="0.3">
      <c r="B2" s="96" t="s">
        <v>218</v>
      </c>
      <c r="C2" s="97"/>
      <c r="F2" s="46"/>
      <c r="G2" s="46"/>
      <c r="I2" s="46"/>
      <c r="J2" s="46"/>
      <c r="K2" s="46"/>
      <c r="L2" s="46"/>
      <c r="M2" s="46"/>
      <c r="N2" s="46"/>
      <c r="O2" s="46"/>
    </row>
    <row r="3" spans="1:60" ht="20.100000000000001" customHeight="1" thickTop="1" thickBot="1" x14ac:dyDescent="0.3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 t="s">
        <v>337</v>
      </c>
      <c r="AI3" s="9" t="s">
        <v>338</v>
      </c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56"/>
      <c r="BB3" s="9"/>
      <c r="BC3" s="9"/>
      <c r="BD3" s="9"/>
      <c r="BE3" s="9"/>
      <c r="BF3" s="9"/>
      <c r="BG3" s="9"/>
      <c r="BH3" s="9"/>
    </row>
    <row r="4" spans="1:60" s="6" customFormat="1" ht="24.95" customHeight="1" thickTop="1" thickBot="1" x14ac:dyDescent="0.3">
      <c r="A4" s="44" t="s">
        <v>190</v>
      </c>
      <c r="P4" s="47" t="s">
        <v>192</v>
      </c>
      <c r="Q4" s="5"/>
      <c r="R4" s="47" t="s">
        <v>192</v>
      </c>
      <c r="S4" s="34"/>
      <c r="T4" s="95" t="s">
        <v>53</v>
      </c>
      <c r="U4" s="95"/>
      <c r="V4" s="95"/>
      <c r="W4" s="95"/>
      <c r="X4" s="95"/>
      <c r="Y4" s="95"/>
      <c r="Z4" s="95"/>
      <c r="AA4" s="95"/>
      <c r="AB4" s="95"/>
      <c r="AC4" s="95" t="s">
        <v>59</v>
      </c>
      <c r="AD4" s="95"/>
      <c r="AE4" s="95" t="s">
        <v>54</v>
      </c>
      <c r="AF4" s="95"/>
      <c r="AG4" s="95"/>
      <c r="AH4" s="95"/>
      <c r="AI4" s="95" t="s">
        <v>55</v>
      </c>
      <c r="AJ4" s="95"/>
      <c r="AK4" s="95"/>
      <c r="AL4" s="95" t="s">
        <v>191</v>
      </c>
      <c r="AM4" s="95"/>
      <c r="AN4" s="95"/>
      <c r="AO4" s="95" t="s">
        <v>56</v>
      </c>
      <c r="AP4" s="95"/>
      <c r="AQ4" s="95"/>
      <c r="AR4" s="95"/>
      <c r="AS4" s="95"/>
      <c r="AT4" s="95"/>
      <c r="AU4" s="44"/>
      <c r="AV4" s="95" t="s">
        <v>57</v>
      </c>
      <c r="AW4" s="95"/>
      <c r="AX4" s="95"/>
      <c r="AY4" s="95"/>
      <c r="AZ4" s="95" t="s">
        <v>60</v>
      </c>
      <c r="BA4" s="95"/>
      <c r="BB4" s="95"/>
      <c r="BC4" s="95"/>
      <c r="BD4" s="95"/>
      <c r="BE4" s="95"/>
      <c r="BF4" s="95" t="s">
        <v>58</v>
      </c>
      <c r="BG4" s="95"/>
      <c r="BH4" s="95"/>
    </row>
    <row r="5" spans="1:60" ht="36" customHeight="1" thickTop="1" thickBot="1" x14ac:dyDescent="0.3">
      <c r="A5" s="34"/>
      <c r="B5" s="34"/>
      <c r="C5" s="34"/>
      <c r="D5" s="98" t="s">
        <v>197</v>
      </c>
      <c r="E5" s="98"/>
      <c r="F5" s="98"/>
      <c r="G5" s="98"/>
      <c r="H5" s="98" t="s">
        <v>201</v>
      </c>
      <c r="I5" s="98"/>
      <c r="J5" s="98" t="s">
        <v>202</v>
      </c>
      <c r="K5" s="98"/>
      <c r="L5" s="98" t="s">
        <v>208</v>
      </c>
      <c r="M5" s="98"/>
      <c r="N5" s="98"/>
      <c r="O5" s="99"/>
      <c r="P5" s="94" t="s">
        <v>198</v>
      </c>
      <c r="Q5" s="94"/>
      <c r="R5" s="94"/>
      <c r="S5" s="94"/>
      <c r="T5" s="40" t="s">
        <v>13</v>
      </c>
      <c r="U5" s="40" t="s">
        <v>78</v>
      </c>
      <c r="V5" s="40" t="s">
        <v>79</v>
      </c>
      <c r="W5" s="40" t="s">
        <v>16</v>
      </c>
      <c r="X5" s="35" t="s">
        <v>14</v>
      </c>
      <c r="Y5" s="35" t="s">
        <v>15</v>
      </c>
      <c r="Z5" s="35" t="s">
        <v>83</v>
      </c>
      <c r="AA5" s="35" t="s">
        <v>17</v>
      </c>
      <c r="AB5" s="35" t="s">
        <v>18</v>
      </c>
      <c r="AC5" s="35" t="s">
        <v>19</v>
      </c>
      <c r="AD5" s="35" t="s">
        <v>97</v>
      </c>
      <c r="AE5" s="35" t="s">
        <v>20</v>
      </c>
      <c r="AF5" s="35" t="s">
        <v>115</v>
      </c>
      <c r="AG5" s="35" t="s">
        <v>20</v>
      </c>
      <c r="AH5" s="43" t="s">
        <v>21</v>
      </c>
      <c r="AI5" s="43" t="s">
        <v>22</v>
      </c>
      <c r="AJ5" s="35" t="s">
        <v>120</v>
      </c>
      <c r="AK5" s="35" t="s">
        <v>23</v>
      </c>
      <c r="AL5" s="35" t="s">
        <v>126</v>
      </c>
      <c r="AM5" s="35" t="s">
        <v>130</v>
      </c>
      <c r="AN5" s="35" t="s">
        <v>130</v>
      </c>
      <c r="AO5" s="43" t="s">
        <v>24</v>
      </c>
      <c r="AP5" s="35" t="s">
        <v>137</v>
      </c>
      <c r="AQ5" s="67" t="s">
        <v>149</v>
      </c>
      <c r="AR5" s="76" t="s">
        <v>141</v>
      </c>
      <c r="AS5" s="76" t="s">
        <v>146</v>
      </c>
      <c r="AT5" s="35" t="s">
        <v>25</v>
      </c>
      <c r="AU5" s="43" t="s">
        <v>219</v>
      </c>
      <c r="AV5" s="68" t="s">
        <v>26</v>
      </c>
      <c r="AW5" s="69" t="s">
        <v>180</v>
      </c>
      <c r="AX5" s="35" t="s">
        <v>181</v>
      </c>
      <c r="AY5" s="35" t="s">
        <v>179</v>
      </c>
      <c r="AZ5" s="70" t="s">
        <v>27</v>
      </c>
      <c r="BA5" s="57" t="s">
        <v>29</v>
      </c>
      <c r="BB5" s="71" t="s">
        <v>30</v>
      </c>
      <c r="BC5" s="72" t="s">
        <v>31</v>
      </c>
      <c r="BD5" s="35" t="s">
        <v>32</v>
      </c>
      <c r="BE5" s="35" t="s">
        <v>33</v>
      </c>
      <c r="BF5" s="35" t="s">
        <v>34</v>
      </c>
      <c r="BG5" s="73" t="s">
        <v>185</v>
      </c>
      <c r="BH5" s="35" t="s">
        <v>35</v>
      </c>
    </row>
    <row r="6" spans="1:60" ht="36" customHeight="1" thickTop="1" thickBot="1" x14ac:dyDescent="0.3">
      <c r="A6" s="52" t="s">
        <v>6</v>
      </c>
      <c r="B6" s="52" t="s">
        <v>7</v>
      </c>
      <c r="C6" s="52" t="s">
        <v>217</v>
      </c>
      <c r="D6" s="62" t="s">
        <v>8</v>
      </c>
      <c r="E6" s="52" t="s">
        <v>9</v>
      </c>
      <c r="F6" s="63" t="s">
        <v>10</v>
      </c>
      <c r="G6" s="63" t="s">
        <v>11</v>
      </c>
      <c r="H6" s="35" t="s">
        <v>199</v>
      </c>
      <c r="I6" s="35" t="s">
        <v>200</v>
      </c>
      <c r="J6" s="35" t="s">
        <v>204</v>
      </c>
      <c r="K6" s="35" t="s">
        <v>203</v>
      </c>
      <c r="L6" s="35" t="s">
        <v>205</v>
      </c>
      <c r="M6" s="35" t="s">
        <v>206</v>
      </c>
      <c r="N6" s="35" t="s">
        <v>207</v>
      </c>
      <c r="O6" s="35" t="s">
        <v>41</v>
      </c>
      <c r="P6" s="41" t="s">
        <v>194</v>
      </c>
      <c r="Q6" s="41" t="s">
        <v>12</v>
      </c>
      <c r="R6" s="41" t="s">
        <v>272</v>
      </c>
      <c r="S6" s="41" t="s">
        <v>12</v>
      </c>
      <c r="T6" s="64">
        <v>105</v>
      </c>
      <c r="U6" s="52">
        <v>117</v>
      </c>
      <c r="V6" s="35">
        <v>118</v>
      </c>
      <c r="W6" s="51">
        <v>114</v>
      </c>
      <c r="X6" s="62">
        <v>106</v>
      </c>
      <c r="Y6" s="61">
        <v>107</v>
      </c>
      <c r="Z6" s="35">
        <v>122</v>
      </c>
      <c r="AA6" s="53">
        <v>118</v>
      </c>
      <c r="AB6" s="65">
        <v>121</v>
      </c>
      <c r="AC6" s="66">
        <v>201</v>
      </c>
      <c r="AD6" s="36">
        <v>208</v>
      </c>
      <c r="AE6" s="36">
        <v>306</v>
      </c>
      <c r="AF6" s="51">
        <v>313</v>
      </c>
      <c r="AG6" s="36">
        <v>306</v>
      </c>
      <c r="AH6" s="60">
        <v>312</v>
      </c>
      <c r="AI6" s="60">
        <v>406</v>
      </c>
      <c r="AJ6" s="36">
        <v>405</v>
      </c>
      <c r="AK6" s="51">
        <v>407</v>
      </c>
      <c r="AL6" s="36">
        <v>501</v>
      </c>
      <c r="AM6" s="36">
        <v>505</v>
      </c>
      <c r="AN6" s="36">
        <v>505</v>
      </c>
      <c r="AO6" s="60">
        <v>904</v>
      </c>
      <c r="AP6" s="36">
        <v>905</v>
      </c>
      <c r="AQ6" s="53">
        <v>917</v>
      </c>
      <c r="AR6" s="53">
        <v>909</v>
      </c>
      <c r="AS6" s="53">
        <v>914</v>
      </c>
      <c r="AT6" s="36">
        <v>928</v>
      </c>
      <c r="AU6" s="43">
        <v>2039</v>
      </c>
      <c r="AV6" s="53">
        <v>701</v>
      </c>
      <c r="AW6" s="53">
        <v>706</v>
      </c>
      <c r="AX6" s="36">
        <v>707</v>
      </c>
      <c r="AY6" s="36">
        <v>705</v>
      </c>
      <c r="AZ6" s="53">
        <v>601</v>
      </c>
      <c r="BA6" s="58">
        <v>605</v>
      </c>
      <c r="BB6" s="53">
        <v>606</v>
      </c>
      <c r="BC6" s="53">
        <v>608</v>
      </c>
      <c r="BD6" s="36">
        <v>611</v>
      </c>
      <c r="BE6" s="36">
        <v>621</v>
      </c>
      <c r="BF6" s="36">
        <v>803</v>
      </c>
      <c r="BG6" s="36">
        <v>807</v>
      </c>
      <c r="BH6" s="36">
        <v>809</v>
      </c>
    </row>
    <row r="7" spans="1:60" ht="15.75" thickTop="1" x14ac:dyDescent="0.25">
      <c r="A7" s="45">
        <v>1</v>
      </c>
      <c r="B7" s="45" t="s">
        <v>387</v>
      </c>
      <c r="C7" s="75" t="s">
        <v>362</v>
      </c>
      <c r="D7" s="74">
        <v>198</v>
      </c>
      <c r="E7" s="48">
        <v>12</v>
      </c>
      <c r="F7" s="74">
        <v>69</v>
      </c>
      <c r="G7" s="48">
        <v>7</v>
      </c>
      <c r="H7" s="74"/>
      <c r="I7" s="48"/>
      <c r="J7" s="74"/>
      <c r="K7" s="48"/>
      <c r="L7" s="74"/>
      <c r="M7" s="48"/>
      <c r="N7" s="74"/>
      <c r="O7" s="48"/>
      <c r="P7" s="74"/>
      <c r="Q7" s="48"/>
      <c r="R7" s="74"/>
      <c r="S7" s="48"/>
      <c r="T7" s="74">
        <v>327.98</v>
      </c>
      <c r="U7" s="48"/>
      <c r="V7" s="74"/>
      <c r="W7" s="48"/>
      <c r="X7" s="74">
        <v>176.6</v>
      </c>
      <c r="Y7" s="48">
        <v>120.32</v>
      </c>
      <c r="Z7" s="74"/>
      <c r="AA7" s="48"/>
      <c r="AB7" s="74">
        <v>1119.83</v>
      </c>
      <c r="AC7" s="48">
        <v>113</v>
      </c>
      <c r="AD7" s="74"/>
      <c r="AE7" s="48"/>
      <c r="AF7" s="74"/>
      <c r="AG7" s="48"/>
      <c r="AH7" s="74"/>
      <c r="AI7" s="48"/>
      <c r="AJ7" s="74"/>
      <c r="AK7" s="48"/>
      <c r="AL7" s="74"/>
      <c r="AM7" s="48"/>
      <c r="AN7" s="74"/>
      <c r="AO7" s="48">
        <v>601.82533333333299</v>
      </c>
      <c r="AP7" s="74"/>
      <c r="AQ7" s="48">
        <v>68.92</v>
      </c>
      <c r="AR7" s="74">
        <v>0</v>
      </c>
      <c r="AS7" s="48">
        <v>0</v>
      </c>
      <c r="AT7" s="74"/>
      <c r="AU7" s="48"/>
      <c r="AV7" s="74">
        <v>704.58</v>
      </c>
      <c r="AW7" s="48">
        <v>0</v>
      </c>
      <c r="AX7" s="74"/>
      <c r="AY7" s="48"/>
      <c r="AZ7" s="74">
        <v>0</v>
      </c>
      <c r="BA7" s="59">
        <v>0</v>
      </c>
      <c r="BB7" s="48">
        <v>25.45</v>
      </c>
      <c r="BC7" s="48">
        <v>185.77</v>
      </c>
      <c r="BG7" s="74">
        <v>13.932974999999999</v>
      </c>
    </row>
    <row r="8" spans="1:60" x14ac:dyDescent="0.25">
      <c r="A8" s="45">
        <v>1</v>
      </c>
      <c r="B8" s="45" t="s">
        <v>388</v>
      </c>
      <c r="C8" s="75" t="s">
        <v>304</v>
      </c>
      <c r="D8" s="74">
        <v>200</v>
      </c>
      <c r="E8" s="48">
        <v>0</v>
      </c>
      <c r="F8" s="74">
        <v>75</v>
      </c>
      <c r="G8" s="48">
        <v>0</v>
      </c>
      <c r="H8" s="74"/>
      <c r="I8" s="48"/>
      <c r="J8" s="74"/>
      <c r="K8" s="48"/>
      <c r="L8" s="74"/>
      <c r="M8" s="48"/>
      <c r="N8" s="74"/>
      <c r="O8" s="48"/>
      <c r="P8" s="74"/>
      <c r="Q8" s="48"/>
      <c r="R8" s="74"/>
      <c r="S8" s="48"/>
      <c r="T8" s="74">
        <v>699.43</v>
      </c>
      <c r="U8" s="48"/>
      <c r="V8" s="74"/>
      <c r="W8" s="48"/>
      <c r="X8" s="74">
        <v>377.69</v>
      </c>
      <c r="Y8" s="48">
        <v>0</v>
      </c>
      <c r="Z8" s="74"/>
      <c r="AA8" s="48"/>
      <c r="AB8" s="74">
        <v>1500</v>
      </c>
      <c r="AC8" s="48">
        <v>113</v>
      </c>
      <c r="AD8" s="74"/>
      <c r="AE8" s="48"/>
      <c r="AF8" s="74"/>
      <c r="AG8" s="48"/>
      <c r="AH8" s="74"/>
      <c r="AI8" s="48"/>
      <c r="AJ8" s="74"/>
      <c r="AK8" s="48"/>
      <c r="AL8" s="74"/>
      <c r="AM8" s="48"/>
      <c r="AN8" s="74"/>
      <c r="AO8" s="48">
        <v>1589.4003041666699</v>
      </c>
      <c r="AP8" s="74"/>
      <c r="AQ8" s="48">
        <v>500</v>
      </c>
      <c r="AR8" s="74">
        <v>469.5</v>
      </c>
      <c r="AS8" s="48">
        <v>0</v>
      </c>
      <c r="AT8" s="74"/>
      <c r="AU8" s="48"/>
      <c r="AV8" s="74">
        <v>1463.85</v>
      </c>
      <c r="AW8" s="48">
        <v>0</v>
      </c>
      <c r="AX8" s="74"/>
      <c r="AY8" s="48"/>
      <c r="AZ8" s="74">
        <v>41.7</v>
      </c>
      <c r="BA8" s="59">
        <v>0</v>
      </c>
      <c r="BB8" s="48">
        <v>36.85</v>
      </c>
      <c r="BC8" s="48">
        <v>269.01</v>
      </c>
      <c r="BG8" s="74">
        <v>20.175899999999999</v>
      </c>
    </row>
    <row r="9" spans="1:60" x14ac:dyDescent="0.25">
      <c r="A9" s="45">
        <v>1</v>
      </c>
      <c r="B9" s="45" t="s">
        <v>389</v>
      </c>
      <c r="C9" s="75" t="s">
        <v>363</v>
      </c>
      <c r="D9" s="74">
        <v>200</v>
      </c>
      <c r="E9" s="48">
        <v>0</v>
      </c>
      <c r="F9" s="74">
        <v>0</v>
      </c>
      <c r="G9" s="48">
        <v>0</v>
      </c>
      <c r="H9" s="74"/>
      <c r="I9" s="48"/>
      <c r="J9" s="74"/>
      <c r="K9" s="48"/>
      <c r="L9" s="74"/>
      <c r="M9" s="48"/>
      <c r="N9" s="74"/>
      <c r="O9" s="48"/>
      <c r="P9" s="74"/>
      <c r="Q9" s="48"/>
      <c r="R9" s="74"/>
      <c r="S9" s="48"/>
      <c r="T9" s="74">
        <v>0</v>
      </c>
      <c r="U9" s="48"/>
      <c r="V9" s="74"/>
      <c r="W9" s="48"/>
      <c r="X9" s="74">
        <v>0</v>
      </c>
      <c r="Y9" s="48">
        <v>0</v>
      </c>
      <c r="Z9" s="74"/>
      <c r="AA9" s="48"/>
      <c r="AB9" s="74">
        <v>3500</v>
      </c>
      <c r="AC9" s="48">
        <v>0</v>
      </c>
      <c r="AD9" s="74"/>
      <c r="AE9" s="48"/>
      <c r="AF9" s="74"/>
      <c r="AG9" s="48"/>
      <c r="AH9" s="74"/>
      <c r="AI9" s="48"/>
      <c r="AJ9" s="74"/>
      <c r="AK9" s="48"/>
      <c r="AL9" s="74"/>
      <c r="AM9" s="48"/>
      <c r="AN9" s="74"/>
      <c r="AO9" s="48">
        <v>1477.7777777777801</v>
      </c>
      <c r="AP9" s="74"/>
      <c r="AQ9" s="48">
        <v>1500</v>
      </c>
      <c r="AR9" s="74">
        <v>600</v>
      </c>
      <c r="AS9" s="48">
        <v>0</v>
      </c>
      <c r="AT9" s="74"/>
      <c r="AU9" s="48"/>
      <c r="AV9" s="74">
        <v>2240</v>
      </c>
      <c r="AW9" s="48">
        <v>0</v>
      </c>
      <c r="AX9" s="74"/>
      <c r="AY9" s="48"/>
      <c r="AZ9" s="74">
        <v>0</v>
      </c>
      <c r="BA9" s="59">
        <v>0</v>
      </c>
      <c r="BB9" s="48">
        <v>47.95</v>
      </c>
      <c r="BC9" s="48">
        <v>350</v>
      </c>
      <c r="BG9" s="74">
        <v>26.25</v>
      </c>
    </row>
    <row r="10" spans="1:60" x14ac:dyDescent="0.25">
      <c r="A10" s="45">
        <v>1</v>
      </c>
      <c r="B10" s="45" t="s">
        <v>309</v>
      </c>
      <c r="C10" s="75" t="s">
        <v>313</v>
      </c>
      <c r="D10" s="74">
        <v>192</v>
      </c>
      <c r="E10" s="48">
        <v>0</v>
      </c>
      <c r="F10" s="74">
        <v>72</v>
      </c>
      <c r="G10" s="48">
        <v>0</v>
      </c>
      <c r="H10" s="74"/>
      <c r="I10" s="48"/>
      <c r="J10" s="74"/>
      <c r="K10" s="48"/>
      <c r="L10" s="74"/>
      <c r="M10" s="48"/>
      <c r="N10" s="74"/>
      <c r="O10" s="48"/>
      <c r="P10" s="74"/>
      <c r="Q10" s="48"/>
      <c r="R10" s="74"/>
      <c r="S10" s="48"/>
      <c r="T10" s="74">
        <v>330.26</v>
      </c>
      <c r="U10" s="48"/>
      <c r="V10" s="74"/>
      <c r="W10" s="48"/>
      <c r="X10" s="74">
        <v>178.34</v>
      </c>
      <c r="Y10" s="48">
        <v>0</v>
      </c>
      <c r="Z10" s="74"/>
      <c r="AA10" s="48"/>
      <c r="AB10" s="74">
        <v>1084.8</v>
      </c>
      <c r="AC10" s="48">
        <v>0</v>
      </c>
      <c r="AD10" s="74"/>
      <c r="AE10" s="48"/>
      <c r="AF10" s="74"/>
      <c r="AG10" s="48"/>
      <c r="AH10" s="74"/>
      <c r="AI10" s="48"/>
      <c r="AJ10" s="74"/>
      <c r="AK10" s="48"/>
      <c r="AL10" s="74"/>
      <c r="AM10" s="48"/>
      <c r="AN10" s="74"/>
      <c r="AO10" s="48">
        <v>965.67463472222198</v>
      </c>
      <c r="AP10" s="74"/>
      <c r="AQ10" s="48">
        <v>134.6</v>
      </c>
      <c r="AR10" s="74">
        <v>0</v>
      </c>
      <c r="AS10" s="48">
        <v>0</v>
      </c>
      <c r="AT10" s="74"/>
      <c r="AU10" s="48"/>
      <c r="AV10" s="74">
        <v>720</v>
      </c>
      <c r="AW10" s="48">
        <v>0</v>
      </c>
      <c r="AX10" s="74"/>
      <c r="AY10" s="48"/>
      <c r="AZ10" s="74">
        <v>0</v>
      </c>
      <c r="BA10" s="59">
        <v>0</v>
      </c>
      <c r="BB10" s="48">
        <v>21.83</v>
      </c>
      <c r="BC10" s="48">
        <v>159.34</v>
      </c>
      <c r="BG10" s="74">
        <v>11.9505</v>
      </c>
    </row>
    <row r="11" spans="1:60" x14ac:dyDescent="0.25">
      <c r="A11" s="45">
        <v>1</v>
      </c>
      <c r="B11" s="45" t="s">
        <v>390</v>
      </c>
      <c r="C11" s="75" t="s">
        <v>364</v>
      </c>
      <c r="D11" s="74">
        <v>200</v>
      </c>
      <c r="E11" s="48">
        <v>0</v>
      </c>
      <c r="F11" s="74">
        <v>75</v>
      </c>
      <c r="G11" s="48">
        <v>0</v>
      </c>
      <c r="H11" s="74"/>
      <c r="I11" s="48"/>
      <c r="J11" s="74"/>
      <c r="K11" s="48"/>
      <c r="L11" s="74"/>
      <c r="M11" s="48"/>
      <c r="N11" s="74"/>
      <c r="O11" s="48"/>
      <c r="P11" s="74"/>
      <c r="Q11" s="48"/>
      <c r="R11" s="74"/>
      <c r="S11" s="48"/>
      <c r="T11" s="74">
        <v>306.04000000000002</v>
      </c>
      <c r="U11" s="48"/>
      <c r="V11" s="74"/>
      <c r="W11" s="48"/>
      <c r="X11" s="74">
        <v>165.26</v>
      </c>
      <c r="Y11" s="48">
        <v>0</v>
      </c>
      <c r="Z11" s="74"/>
      <c r="AA11" s="48"/>
      <c r="AB11" s="74">
        <v>1130</v>
      </c>
      <c r="AC11" s="48">
        <v>0</v>
      </c>
      <c r="AD11" s="74"/>
      <c r="AE11" s="48"/>
      <c r="AF11" s="74"/>
      <c r="AG11" s="48"/>
      <c r="AH11" s="74"/>
      <c r="AI11" s="48"/>
      <c r="AJ11" s="74"/>
      <c r="AK11" s="48"/>
      <c r="AL11" s="74"/>
      <c r="AM11" s="48"/>
      <c r="AN11" s="74"/>
      <c r="AO11" s="48">
        <v>547.11083333333295</v>
      </c>
      <c r="AP11" s="74"/>
      <c r="AQ11" s="48">
        <v>0</v>
      </c>
      <c r="AR11" s="74">
        <v>0</v>
      </c>
      <c r="AS11" s="48">
        <v>0</v>
      </c>
      <c r="AT11" s="74"/>
      <c r="AU11" s="48"/>
      <c r="AV11" s="74">
        <v>640.52</v>
      </c>
      <c r="AW11" s="48">
        <v>0</v>
      </c>
      <c r="AX11" s="74"/>
      <c r="AY11" s="48"/>
      <c r="AZ11" s="74">
        <v>0</v>
      </c>
      <c r="BA11" s="59">
        <v>0</v>
      </c>
      <c r="BB11" s="48">
        <v>21.94</v>
      </c>
      <c r="BC11" s="48">
        <v>160.13</v>
      </c>
      <c r="BG11" s="74">
        <v>12.009749999999999</v>
      </c>
    </row>
    <row r="12" spans="1:60" x14ac:dyDescent="0.25">
      <c r="A12" s="45">
        <v>1</v>
      </c>
      <c r="B12" s="45" t="s">
        <v>308</v>
      </c>
      <c r="C12" s="75" t="s">
        <v>307</v>
      </c>
      <c r="D12" s="74">
        <v>168</v>
      </c>
      <c r="E12" s="48">
        <v>0</v>
      </c>
      <c r="F12" s="74">
        <v>63</v>
      </c>
      <c r="G12" s="48">
        <v>0</v>
      </c>
      <c r="H12" s="74"/>
      <c r="I12" s="48"/>
      <c r="J12" s="74"/>
      <c r="K12" s="48"/>
      <c r="L12" s="74"/>
      <c r="M12" s="48"/>
      <c r="N12" s="74"/>
      <c r="O12" s="48"/>
      <c r="P12" s="74"/>
      <c r="Q12" s="48"/>
      <c r="R12" s="74"/>
      <c r="S12" s="48"/>
      <c r="T12" s="74">
        <v>409.38</v>
      </c>
      <c r="U12" s="48"/>
      <c r="V12" s="74"/>
      <c r="W12" s="48"/>
      <c r="X12" s="74">
        <v>221.06</v>
      </c>
      <c r="Y12" s="48">
        <v>0</v>
      </c>
      <c r="Z12" s="74"/>
      <c r="AA12" s="48"/>
      <c r="AB12" s="74">
        <v>1344</v>
      </c>
      <c r="AC12" s="48">
        <v>113</v>
      </c>
      <c r="AD12" s="74"/>
      <c r="AE12" s="48"/>
      <c r="AF12" s="74"/>
      <c r="AG12" s="48"/>
      <c r="AH12" s="74"/>
      <c r="AI12" s="48"/>
      <c r="AJ12" s="74"/>
      <c r="AK12" s="48"/>
      <c r="AL12" s="74"/>
      <c r="AM12" s="48"/>
      <c r="AN12" s="74"/>
      <c r="AO12" s="48">
        <v>1447.2805569444399</v>
      </c>
      <c r="AP12" s="74"/>
      <c r="AQ12" s="48">
        <v>72.63</v>
      </c>
      <c r="AR12" s="74">
        <v>0</v>
      </c>
      <c r="AS12" s="48">
        <v>0</v>
      </c>
      <c r="AT12" s="74"/>
      <c r="AU12" s="48"/>
      <c r="AV12" s="74">
        <v>459</v>
      </c>
      <c r="AW12" s="48">
        <v>0</v>
      </c>
      <c r="AX12" s="74"/>
      <c r="AY12" s="48"/>
      <c r="AZ12" s="74">
        <v>0</v>
      </c>
      <c r="BA12" s="59">
        <v>0</v>
      </c>
      <c r="BB12" s="48">
        <v>28.6</v>
      </c>
      <c r="BC12" s="48">
        <v>208.74</v>
      </c>
      <c r="BG12" s="74">
        <v>15.655799999999999</v>
      </c>
    </row>
    <row r="13" spans="1:60" x14ac:dyDescent="0.25">
      <c r="A13" s="45">
        <v>1</v>
      </c>
      <c r="B13" s="45" t="s">
        <v>336</v>
      </c>
      <c r="C13" s="75" t="s">
        <v>335</v>
      </c>
      <c r="D13" s="74">
        <v>170</v>
      </c>
      <c r="E13" s="48">
        <v>55</v>
      </c>
      <c r="F13" s="74">
        <v>0</v>
      </c>
      <c r="G13" s="48">
        <v>0</v>
      </c>
      <c r="H13" s="74"/>
      <c r="I13" s="48"/>
      <c r="J13" s="74"/>
      <c r="K13" s="48"/>
      <c r="L13" s="74"/>
      <c r="M13" s="48"/>
      <c r="N13" s="74"/>
      <c r="O13" s="48"/>
      <c r="P13" s="74"/>
      <c r="Q13" s="48"/>
      <c r="R13" s="74"/>
      <c r="S13" s="48"/>
      <c r="T13" s="74">
        <v>0</v>
      </c>
      <c r="U13" s="48"/>
      <c r="V13" s="74"/>
      <c r="W13" s="48"/>
      <c r="X13" s="74">
        <v>0</v>
      </c>
      <c r="Y13" s="48">
        <v>0</v>
      </c>
      <c r="Z13" s="74"/>
      <c r="AA13" s="48"/>
      <c r="AB13" s="74">
        <v>1538.28</v>
      </c>
      <c r="AC13" s="48">
        <v>113</v>
      </c>
      <c r="AD13" s="74"/>
      <c r="AE13" s="48"/>
      <c r="AF13" s="74"/>
      <c r="AG13" s="48"/>
      <c r="AH13" s="74"/>
      <c r="AI13" s="48"/>
      <c r="AJ13" s="74"/>
      <c r="AK13" s="48"/>
      <c r="AL13" s="74"/>
      <c r="AM13" s="48"/>
      <c r="AN13" s="74"/>
      <c r="AO13" s="48">
        <v>1156.7317888888899</v>
      </c>
      <c r="AP13" s="74"/>
      <c r="AQ13" s="48">
        <v>418.33</v>
      </c>
      <c r="AR13" s="74">
        <v>0</v>
      </c>
      <c r="AS13" s="48">
        <v>0</v>
      </c>
      <c r="AT13" s="74"/>
      <c r="AU13" s="48"/>
      <c r="AV13" s="74">
        <v>961</v>
      </c>
      <c r="AW13" s="48">
        <v>0</v>
      </c>
      <c r="AX13" s="74"/>
      <c r="AY13" s="48"/>
      <c r="AZ13" s="74">
        <v>27.91</v>
      </c>
      <c r="BA13" s="59">
        <v>0</v>
      </c>
      <c r="BB13" s="48">
        <v>22.62</v>
      </c>
      <c r="BC13" s="48">
        <v>165.13</v>
      </c>
      <c r="BG13" s="74">
        <v>12.384599999999999</v>
      </c>
    </row>
    <row r="14" spans="1:60" x14ac:dyDescent="0.25">
      <c r="A14" s="45">
        <v>1</v>
      </c>
      <c r="B14" s="45" t="s">
        <v>302</v>
      </c>
      <c r="C14" s="75" t="s">
        <v>303</v>
      </c>
      <c r="D14" s="74">
        <v>200</v>
      </c>
      <c r="E14" s="48">
        <v>0</v>
      </c>
      <c r="F14" s="74">
        <v>75</v>
      </c>
      <c r="G14" s="48">
        <v>0</v>
      </c>
      <c r="H14" s="74"/>
      <c r="I14" s="48"/>
      <c r="J14" s="74"/>
      <c r="K14" s="48"/>
      <c r="L14" s="74"/>
      <c r="M14" s="48"/>
      <c r="N14" s="74"/>
      <c r="O14" s="48"/>
      <c r="P14" s="74"/>
      <c r="Q14" s="48"/>
      <c r="R14" s="74"/>
      <c r="S14" s="48"/>
      <c r="T14" s="74">
        <v>535.14</v>
      </c>
      <c r="U14" s="48"/>
      <c r="V14" s="74"/>
      <c r="W14" s="48"/>
      <c r="X14" s="74">
        <v>288.97000000000003</v>
      </c>
      <c r="Y14" s="48">
        <v>0</v>
      </c>
      <c r="Z14" s="74"/>
      <c r="AA14" s="48"/>
      <c r="AB14" s="74">
        <v>1608.33</v>
      </c>
      <c r="AC14" s="48">
        <v>0</v>
      </c>
      <c r="AD14" s="74"/>
      <c r="AE14" s="48"/>
      <c r="AF14" s="74"/>
      <c r="AG14" s="48"/>
      <c r="AH14" s="74"/>
      <c r="AI14" s="48"/>
      <c r="AJ14" s="74"/>
      <c r="AK14" s="48"/>
      <c r="AL14" s="74"/>
      <c r="AM14" s="48"/>
      <c r="AN14" s="74"/>
      <c r="AO14" s="48">
        <v>1434.22060555556</v>
      </c>
      <c r="AP14" s="74"/>
      <c r="AQ14" s="48">
        <v>367.56</v>
      </c>
      <c r="AR14" s="74">
        <v>0</v>
      </c>
      <c r="AS14" s="48">
        <v>0</v>
      </c>
      <c r="AT14" s="74"/>
      <c r="AU14" s="48"/>
      <c r="AV14" s="74">
        <v>1120</v>
      </c>
      <c r="AW14" s="48">
        <v>0</v>
      </c>
      <c r="AX14" s="74"/>
      <c r="AY14" s="48"/>
      <c r="AZ14" s="74">
        <v>0</v>
      </c>
      <c r="BA14" s="59">
        <v>0</v>
      </c>
      <c r="BB14" s="48">
        <v>33.32</v>
      </c>
      <c r="BC14" s="48">
        <v>243.24</v>
      </c>
      <c r="BG14" s="74">
        <v>18.243300000000001</v>
      </c>
    </row>
    <row r="15" spans="1:60" x14ac:dyDescent="0.25">
      <c r="A15" s="45">
        <v>1</v>
      </c>
      <c r="B15" s="45" t="s">
        <v>339</v>
      </c>
      <c r="C15" s="75" t="s">
        <v>342</v>
      </c>
      <c r="D15" s="74">
        <v>136</v>
      </c>
      <c r="E15" s="48">
        <v>0</v>
      </c>
      <c r="F15" s="74">
        <v>51</v>
      </c>
      <c r="G15" s="48">
        <v>0</v>
      </c>
      <c r="H15" s="74"/>
      <c r="I15" s="48"/>
      <c r="J15" s="74"/>
      <c r="K15" s="48"/>
      <c r="L15" s="74"/>
      <c r="M15" s="48"/>
      <c r="N15" s="74"/>
      <c r="O15" s="48"/>
      <c r="P15" s="74"/>
      <c r="Q15" s="48"/>
      <c r="R15" s="74"/>
      <c r="S15" s="48"/>
      <c r="T15" s="74">
        <v>275.18</v>
      </c>
      <c r="U15" s="48"/>
      <c r="V15" s="74"/>
      <c r="W15" s="48"/>
      <c r="X15" s="74">
        <v>148.6</v>
      </c>
      <c r="Y15" s="48">
        <v>0</v>
      </c>
      <c r="Z15" s="74"/>
      <c r="AA15" s="48"/>
      <c r="AB15" s="74">
        <v>939.2</v>
      </c>
      <c r="AC15" s="48">
        <v>113</v>
      </c>
      <c r="AD15" s="74"/>
      <c r="AE15" s="48"/>
      <c r="AF15" s="74"/>
      <c r="AG15" s="48"/>
      <c r="AH15" s="74"/>
      <c r="AI15" s="48"/>
      <c r="AJ15" s="74"/>
      <c r="AK15" s="48"/>
      <c r="AL15" s="74"/>
      <c r="AM15" s="48"/>
      <c r="AN15" s="74"/>
      <c r="AO15" s="48">
        <v>1244.7628444444399</v>
      </c>
      <c r="AP15" s="74"/>
      <c r="AQ15" s="48">
        <v>0</v>
      </c>
      <c r="AR15" s="74">
        <v>0</v>
      </c>
      <c r="AS15" s="48">
        <v>0</v>
      </c>
      <c r="AT15" s="74"/>
      <c r="AU15" s="48"/>
      <c r="AV15" s="74">
        <v>280</v>
      </c>
      <c r="AW15" s="48">
        <v>0</v>
      </c>
      <c r="AX15" s="74"/>
      <c r="AY15" s="48"/>
      <c r="AZ15" s="74">
        <v>0</v>
      </c>
      <c r="BA15" s="59">
        <v>0</v>
      </c>
      <c r="BB15" s="48">
        <v>0</v>
      </c>
      <c r="BC15" s="48">
        <v>191.88</v>
      </c>
      <c r="BG15" s="74">
        <v>11.069849999999999</v>
      </c>
    </row>
    <row r="16" spans="1:60" x14ac:dyDescent="0.25">
      <c r="A16" s="45">
        <v>1</v>
      </c>
      <c r="B16" s="45" t="s">
        <v>391</v>
      </c>
      <c r="C16" s="75" t="s">
        <v>365</v>
      </c>
      <c r="D16" s="74">
        <v>200</v>
      </c>
      <c r="E16" s="48">
        <v>0</v>
      </c>
      <c r="F16" s="74">
        <v>75</v>
      </c>
      <c r="G16" s="48">
        <v>0</v>
      </c>
      <c r="H16" s="74"/>
      <c r="I16" s="48"/>
      <c r="J16" s="74"/>
      <c r="K16" s="48"/>
      <c r="L16" s="74"/>
      <c r="M16" s="48"/>
      <c r="N16" s="74"/>
      <c r="O16" s="48"/>
      <c r="P16" s="74"/>
      <c r="Q16" s="48"/>
      <c r="R16" s="74"/>
      <c r="S16" s="48"/>
      <c r="T16" s="74">
        <v>433.34</v>
      </c>
      <c r="U16" s="48"/>
      <c r="V16" s="74"/>
      <c r="W16" s="48"/>
      <c r="X16" s="74">
        <v>234</v>
      </c>
      <c r="Y16" s="48">
        <v>106.67</v>
      </c>
      <c r="Z16" s="74"/>
      <c r="AA16" s="48"/>
      <c r="AB16" s="74">
        <v>1300</v>
      </c>
      <c r="AC16" s="48">
        <v>0</v>
      </c>
      <c r="AD16" s="74"/>
      <c r="AE16" s="48"/>
      <c r="AF16" s="74"/>
      <c r="AG16" s="48"/>
      <c r="AH16" s="74"/>
      <c r="AI16" s="48"/>
      <c r="AJ16" s="74"/>
      <c r="AK16" s="48"/>
      <c r="AL16" s="74"/>
      <c r="AM16" s="48"/>
      <c r="AN16" s="74"/>
      <c r="AO16" s="48">
        <v>622.99099999999999</v>
      </c>
      <c r="AP16" s="74"/>
      <c r="AQ16" s="48">
        <v>300</v>
      </c>
      <c r="AR16" s="74">
        <v>0</v>
      </c>
      <c r="AS16" s="48">
        <v>0</v>
      </c>
      <c r="AT16" s="74"/>
      <c r="AU16" s="48"/>
      <c r="AV16" s="74">
        <v>906.94</v>
      </c>
      <c r="AW16" s="48">
        <v>0</v>
      </c>
      <c r="AX16" s="74"/>
      <c r="AY16" s="48"/>
      <c r="AZ16" s="74">
        <v>0</v>
      </c>
      <c r="BA16" s="59">
        <v>0</v>
      </c>
      <c r="BB16" s="48">
        <v>28.41</v>
      </c>
      <c r="BC16" s="48">
        <v>207.4</v>
      </c>
      <c r="BG16" s="74">
        <v>15.555075</v>
      </c>
    </row>
    <row r="17" spans="1:59" x14ac:dyDescent="0.25">
      <c r="A17" s="45">
        <v>1</v>
      </c>
      <c r="B17" s="45" t="s">
        <v>310</v>
      </c>
      <c r="C17" s="75" t="s">
        <v>314</v>
      </c>
      <c r="D17" s="74">
        <v>200</v>
      </c>
      <c r="E17" s="48">
        <v>0</v>
      </c>
      <c r="F17" s="74">
        <v>64</v>
      </c>
      <c r="G17" s="48">
        <v>37</v>
      </c>
      <c r="H17" s="74"/>
      <c r="I17" s="48"/>
      <c r="J17" s="74"/>
      <c r="K17" s="48"/>
      <c r="L17" s="74"/>
      <c r="M17" s="48"/>
      <c r="N17" s="74"/>
      <c r="O17" s="48"/>
      <c r="P17" s="74"/>
      <c r="Q17" s="48"/>
      <c r="R17" s="74"/>
      <c r="S17" s="48"/>
      <c r="T17" s="74">
        <v>454.48</v>
      </c>
      <c r="U17" s="48"/>
      <c r="V17" s="74"/>
      <c r="W17" s="48"/>
      <c r="X17" s="74">
        <v>236.25</v>
      </c>
      <c r="Y17" s="48">
        <v>47</v>
      </c>
      <c r="Z17" s="74"/>
      <c r="AA17" s="48"/>
      <c r="AB17" s="74">
        <v>1600</v>
      </c>
      <c r="AC17" s="48">
        <v>0</v>
      </c>
      <c r="AD17" s="74"/>
      <c r="AE17" s="48"/>
      <c r="AF17" s="74"/>
      <c r="AG17" s="48"/>
      <c r="AH17" s="74"/>
      <c r="AI17" s="48"/>
      <c r="AJ17" s="74"/>
      <c r="AK17" s="48"/>
      <c r="AL17" s="74"/>
      <c r="AM17" s="48"/>
      <c r="AN17" s="74"/>
      <c r="AO17" s="48">
        <v>997.65378750000002</v>
      </c>
      <c r="AP17" s="74"/>
      <c r="AQ17" s="48">
        <v>400</v>
      </c>
      <c r="AR17" s="74">
        <v>0</v>
      </c>
      <c r="AS17" s="48">
        <v>0</v>
      </c>
      <c r="AT17" s="74"/>
      <c r="AU17" s="48"/>
      <c r="AV17" s="74">
        <v>800</v>
      </c>
      <c r="AW17" s="48">
        <v>0</v>
      </c>
      <c r="AX17" s="74"/>
      <c r="AY17" s="48"/>
      <c r="AZ17" s="74">
        <v>0</v>
      </c>
      <c r="BA17" s="59">
        <v>0</v>
      </c>
      <c r="BB17" s="48">
        <v>32.03</v>
      </c>
      <c r="BC17" s="48">
        <v>233.77</v>
      </c>
      <c r="BG17" s="74">
        <v>17.532975</v>
      </c>
    </row>
    <row r="18" spans="1:59" x14ac:dyDescent="0.25">
      <c r="A18" s="45">
        <v>1</v>
      </c>
      <c r="B18" s="45" t="s">
        <v>285</v>
      </c>
      <c r="C18" s="75" t="s">
        <v>273</v>
      </c>
      <c r="D18" s="74">
        <v>200</v>
      </c>
      <c r="E18" s="48">
        <v>0</v>
      </c>
      <c r="F18" s="74">
        <v>75</v>
      </c>
      <c r="G18" s="48">
        <v>0</v>
      </c>
      <c r="H18" s="74"/>
      <c r="I18" s="48"/>
      <c r="J18" s="74"/>
      <c r="K18" s="48"/>
      <c r="L18" s="74"/>
      <c r="M18" s="48"/>
      <c r="N18" s="74"/>
      <c r="O18" s="48"/>
      <c r="P18" s="74"/>
      <c r="Q18" s="48"/>
      <c r="R18" s="74"/>
      <c r="S18" s="48"/>
      <c r="T18" s="74">
        <v>396.36</v>
      </c>
      <c r="U18" s="48"/>
      <c r="V18" s="74"/>
      <c r="W18" s="48"/>
      <c r="X18" s="74">
        <v>214.04</v>
      </c>
      <c r="Y18" s="48">
        <v>0</v>
      </c>
      <c r="Z18" s="74"/>
      <c r="AA18" s="48"/>
      <c r="AB18" s="74">
        <v>1130</v>
      </c>
      <c r="AC18" s="48">
        <v>113</v>
      </c>
      <c r="AD18" s="74"/>
      <c r="AE18" s="48"/>
      <c r="AF18" s="74"/>
      <c r="AG18" s="48"/>
      <c r="AH18" s="74"/>
      <c r="AI18" s="48"/>
      <c r="AJ18" s="74"/>
      <c r="AK18" s="48"/>
      <c r="AL18" s="74"/>
      <c r="AM18" s="48"/>
      <c r="AN18" s="74"/>
      <c r="AO18" s="48">
        <v>1095.2153625000001</v>
      </c>
      <c r="AP18" s="74"/>
      <c r="AQ18" s="48">
        <v>220.5</v>
      </c>
      <c r="AR18" s="74">
        <v>0</v>
      </c>
      <c r="AS18" s="48">
        <v>0</v>
      </c>
      <c r="AT18" s="74"/>
      <c r="AU18" s="48"/>
      <c r="AV18" s="74">
        <v>829.56</v>
      </c>
      <c r="AW18" s="48">
        <v>0</v>
      </c>
      <c r="AX18" s="74"/>
      <c r="AY18" s="48"/>
      <c r="AZ18" s="74">
        <v>0</v>
      </c>
      <c r="BA18" s="59">
        <v>0</v>
      </c>
      <c r="BB18" s="48">
        <v>0</v>
      </c>
      <c r="BC18" s="48">
        <v>185.34</v>
      </c>
      <c r="BG18" s="74">
        <v>13.900500000000001</v>
      </c>
    </row>
    <row r="19" spans="1:59" x14ac:dyDescent="0.25">
      <c r="A19" s="45">
        <v>1</v>
      </c>
      <c r="B19" s="45" t="s">
        <v>392</v>
      </c>
      <c r="C19" s="75" t="s">
        <v>366</v>
      </c>
      <c r="D19" s="74">
        <v>176</v>
      </c>
      <c r="E19" s="48">
        <v>0</v>
      </c>
      <c r="F19" s="74">
        <v>65</v>
      </c>
      <c r="G19" s="48">
        <v>43</v>
      </c>
      <c r="H19" s="74"/>
      <c r="I19" s="48"/>
      <c r="J19" s="74"/>
      <c r="K19" s="48"/>
      <c r="L19" s="74"/>
      <c r="M19" s="48"/>
      <c r="N19" s="74"/>
      <c r="O19" s="48"/>
      <c r="P19" s="74"/>
      <c r="Q19" s="48"/>
      <c r="R19" s="74"/>
      <c r="S19" s="48"/>
      <c r="T19" s="74">
        <v>285.91000000000003</v>
      </c>
      <c r="U19" s="48"/>
      <c r="V19" s="74"/>
      <c r="W19" s="48"/>
      <c r="X19" s="74">
        <v>152.5</v>
      </c>
      <c r="Y19" s="48">
        <v>0</v>
      </c>
      <c r="Z19" s="74"/>
      <c r="AA19" s="48"/>
      <c r="AB19" s="74">
        <v>994.4</v>
      </c>
      <c r="AC19" s="48">
        <v>0</v>
      </c>
      <c r="AD19" s="74"/>
      <c r="AE19" s="48"/>
      <c r="AF19" s="74"/>
      <c r="AG19" s="48"/>
      <c r="AH19" s="74"/>
      <c r="AI19" s="48"/>
      <c r="AJ19" s="74"/>
      <c r="AK19" s="48"/>
      <c r="AL19" s="74"/>
      <c r="AM19" s="48"/>
      <c r="AN19" s="74"/>
      <c r="AO19" s="48">
        <v>557.03625</v>
      </c>
      <c r="AP19" s="74"/>
      <c r="AQ19" s="48">
        <v>61.29</v>
      </c>
      <c r="AR19" s="74">
        <v>0</v>
      </c>
      <c r="AS19" s="48">
        <v>0</v>
      </c>
      <c r="AT19" s="74"/>
      <c r="AU19" s="48"/>
      <c r="AV19" s="74">
        <v>680</v>
      </c>
      <c r="AW19" s="48">
        <v>0</v>
      </c>
      <c r="AX19" s="74"/>
      <c r="AY19" s="48"/>
      <c r="AZ19" s="74">
        <v>0</v>
      </c>
      <c r="BA19" s="59">
        <v>0</v>
      </c>
      <c r="BB19" s="48">
        <v>19.63</v>
      </c>
      <c r="BC19" s="48">
        <v>143.28</v>
      </c>
      <c r="BG19" s="74">
        <v>10.746074999999999</v>
      </c>
    </row>
    <row r="20" spans="1:59" x14ac:dyDescent="0.25">
      <c r="A20" s="45">
        <v>1</v>
      </c>
      <c r="B20" s="45" t="s">
        <v>351</v>
      </c>
      <c r="C20" s="75" t="s">
        <v>355</v>
      </c>
      <c r="D20" s="74">
        <v>200</v>
      </c>
      <c r="E20" s="48">
        <v>0</v>
      </c>
      <c r="F20" s="74">
        <v>40</v>
      </c>
      <c r="G20" s="48">
        <v>21</v>
      </c>
      <c r="H20" s="74"/>
      <c r="I20" s="48"/>
      <c r="J20" s="74"/>
      <c r="K20" s="48"/>
      <c r="L20" s="74"/>
      <c r="M20" s="48"/>
      <c r="N20" s="74"/>
      <c r="O20" s="48"/>
      <c r="P20" s="74"/>
      <c r="Q20" s="48"/>
      <c r="R20" s="74"/>
      <c r="S20" s="48"/>
      <c r="T20" s="74">
        <v>336.25</v>
      </c>
      <c r="U20" s="48"/>
      <c r="V20" s="74"/>
      <c r="W20" s="48"/>
      <c r="X20" s="74">
        <v>0</v>
      </c>
      <c r="Y20" s="48">
        <v>0</v>
      </c>
      <c r="Z20" s="74"/>
      <c r="AA20" s="48"/>
      <c r="AB20" s="74">
        <v>1300</v>
      </c>
      <c r="AC20" s="48">
        <v>0</v>
      </c>
      <c r="AD20" s="74"/>
      <c r="AE20" s="48"/>
      <c r="AF20" s="74"/>
      <c r="AG20" s="48"/>
      <c r="AH20" s="74"/>
      <c r="AI20" s="48"/>
      <c r="AJ20" s="74"/>
      <c r="AK20" s="48"/>
      <c r="AL20" s="74"/>
      <c r="AM20" s="48"/>
      <c r="AN20" s="74"/>
      <c r="AO20" s="48">
        <v>713.31598055555605</v>
      </c>
      <c r="AP20" s="74"/>
      <c r="AQ20" s="48">
        <v>300</v>
      </c>
      <c r="AR20" s="74">
        <v>0</v>
      </c>
      <c r="AS20" s="48">
        <v>0</v>
      </c>
      <c r="AT20" s="74"/>
      <c r="AU20" s="48"/>
      <c r="AV20" s="74">
        <v>640</v>
      </c>
      <c r="AW20" s="48">
        <v>0</v>
      </c>
      <c r="AX20" s="74"/>
      <c r="AY20" s="48"/>
      <c r="AZ20" s="74">
        <v>0</v>
      </c>
      <c r="BA20" s="59">
        <v>0</v>
      </c>
      <c r="BB20" s="48">
        <v>22.42</v>
      </c>
      <c r="BC20" s="48">
        <v>163.63</v>
      </c>
      <c r="BG20" s="74">
        <v>12.271875</v>
      </c>
    </row>
    <row r="21" spans="1:59" x14ac:dyDescent="0.25">
      <c r="A21" s="45">
        <v>1</v>
      </c>
      <c r="B21" s="45" t="s">
        <v>327</v>
      </c>
      <c r="C21" s="75" t="s">
        <v>319</v>
      </c>
      <c r="D21" s="74">
        <v>199</v>
      </c>
      <c r="E21" s="48">
        <v>57</v>
      </c>
      <c r="F21" s="74">
        <v>72</v>
      </c>
      <c r="G21" s="48">
        <v>0</v>
      </c>
      <c r="H21" s="74"/>
      <c r="I21" s="48"/>
      <c r="J21" s="74"/>
      <c r="K21" s="48"/>
      <c r="L21" s="74"/>
      <c r="M21" s="48"/>
      <c r="N21" s="74"/>
      <c r="O21" s="48"/>
      <c r="P21" s="74"/>
      <c r="Q21" s="48"/>
      <c r="R21" s="74"/>
      <c r="S21" s="48"/>
      <c r="T21" s="74">
        <v>366.95</v>
      </c>
      <c r="U21" s="48"/>
      <c r="V21" s="74"/>
      <c r="W21" s="48"/>
      <c r="X21" s="74">
        <v>198.15</v>
      </c>
      <c r="Y21" s="48">
        <v>0</v>
      </c>
      <c r="Z21" s="74"/>
      <c r="AA21" s="48"/>
      <c r="AB21" s="74">
        <v>1129.72</v>
      </c>
      <c r="AC21" s="48">
        <v>113</v>
      </c>
      <c r="AD21" s="74"/>
      <c r="AE21" s="48"/>
      <c r="AF21" s="74"/>
      <c r="AG21" s="48"/>
      <c r="AH21" s="74"/>
      <c r="AI21" s="48"/>
      <c r="AJ21" s="74"/>
      <c r="AK21" s="48"/>
      <c r="AL21" s="74"/>
      <c r="AM21" s="48"/>
      <c r="AN21" s="74"/>
      <c r="AO21" s="48">
        <v>1075.25551527778</v>
      </c>
      <c r="AP21" s="74"/>
      <c r="AQ21" s="48">
        <v>168.31</v>
      </c>
      <c r="AR21" s="74">
        <v>0</v>
      </c>
      <c r="AS21" s="48">
        <v>0</v>
      </c>
      <c r="AT21" s="74"/>
      <c r="AU21" s="48"/>
      <c r="AV21" s="74">
        <v>800</v>
      </c>
      <c r="AW21" s="48">
        <v>0</v>
      </c>
      <c r="AX21" s="74"/>
      <c r="AY21" s="48"/>
      <c r="AZ21" s="74">
        <v>0</v>
      </c>
      <c r="BA21" s="59">
        <v>0</v>
      </c>
      <c r="BB21" s="48">
        <v>0</v>
      </c>
      <c r="BC21" s="48">
        <v>0</v>
      </c>
      <c r="BG21" s="74">
        <v>13.558649999999998</v>
      </c>
    </row>
    <row r="22" spans="1:59" x14ac:dyDescent="0.25">
      <c r="A22" s="45">
        <v>1</v>
      </c>
      <c r="B22" s="45" t="s">
        <v>393</v>
      </c>
      <c r="C22" s="75" t="s">
        <v>367</v>
      </c>
      <c r="D22" s="74">
        <v>184</v>
      </c>
      <c r="E22" s="48">
        <v>0</v>
      </c>
      <c r="F22" s="74">
        <v>67</v>
      </c>
      <c r="G22" s="48">
        <v>27</v>
      </c>
      <c r="H22" s="74"/>
      <c r="I22" s="48"/>
      <c r="J22" s="74"/>
      <c r="K22" s="48"/>
      <c r="L22" s="74"/>
      <c r="M22" s="48"/>
      <c r="N22" s="74"/>
      <c r="O22" s="48"/>
      <c r="P22" s="74"/>
      <c r="Q22" s="48"/>
      <c r="R22" s="74"/>
      <c r="S22" s="48"/>
      <c r="T22" s="74">
        <v>279.83999999999997</v>
      </c>
      <c r="U22" s="48"/>
      <c r="V22" s="74"/>
      <c r="W22" s="48"/>
      <c r="X22" s="74">
        <v>143.63999999999999</v>
      </c>
      <c r="Y22" s="48">
        <v>0</v>
      </c>
      <c r="Z22" s="74"/>
      <c r="AA22" s="48"/>
      <c r="AB22" s="74">
        <v>1039.5999999999999</v>
      </c>
      <c r="AC22" s="48">
        <v>0</v>
      </c>
      <c r="AD22" s="74"/>
      <c r="AE22" s="48"/>
      <c r="AF22" s="74"/>
      <c r="AG22" s="48"/>
      <c r="AH22" s="74"/>
      <c r="AI22" s="48"/>
      <c r="AJ22" s="74"/>
      <c r="AK22" s="48"/>
      <c r="AL22" s="74"/>
      <c r="AM22" s="48"/>
      <c r="AN22" s="74"/>
      <c r="AO22" s="48">
        <v>547.11083333333295</v>
      </c>
      <c r="AP22" s="74"/>
      <c r="AQ22" s="48">
        <v>0</v>
      </c>
      <c r="AR22" s="74">
        <v>0</v>
      </c>
      <c r="AS22" s="48">
        <v>0</v>
      </c>
      <c r="AT22" s="74"/>
      <c r="AU22" s="48"/>
      <c r="AV22" s="74">
        <v>640.52</v>
      </c>
      <c r="AW22" s="48">
        <v>0</v>
      </c>
      <c r="AX22" s="74"/>
      <c r="AY22" s="48"/>
      <c r="AZ22" s="74">
        <v>0</v>
      </c>
      <c r="BA22" s="59">
        <v>0</v>
      </c>
      <c r="BB22" s="48">
        <v>20.04</v>
      </c>
      <c r="BC22" s="48">
        <v>146.31</v>
      </c>
      <c r="BG22" s="74">
        <v>10.973099999999999</v>
      </c>
    </row>
    <row r="23" spans="1:59" x14ac:dyDescent="0.25">
      <c r="A23" s="45">
        <v>1</v>
      </c>
      <c r="B23" s="45" t="s">
        <v>318</v>
      </c>
      <c r="C23" s="75" t="s">
        <v>317</v>
      </c>
      <c r="D23" s="74">
        <v>200</v>
      </c>
      <c r="E23" s="48">
        <v>0</v>
      </c>
      <c r="F23" s="74">
        <v>28</v>
      </c>
      <c r="G23" s="48">
        <v>27</v>
      </c>
      <c r="H23" s="74"/>
      <c r="I23" s="48"/>
      <c r="J23" s="74"/>
      <c r="K23" s="48"/>
      <c r="L23" s="74"/>
      <c r="M23" s="48"/>
      <c r="N23" s="74"/>
      <c r="O23" s="48"/>
      <c r="P23" s="74"/>
      <c r="Q23" s="48"/>
      <c r="R23" s="74"/>
      <c r="S23" s="48"/>
      <c r="T23" s="74">
        <v>400.22</v>
      </c>
      <c r="U23" s="48"/>
      <c r="V23" s="74"/>
      <c r="W23" s="48"/>
      <c r="X23" s="74">
        <v>0</v>
      </c>
      <c r="Y23" s="48">
        <v>0</v>
      </c>
      <c r="Z23" s="74"/>
      <c r="AA23" s="48"/>
      <c r="AB23" s="74">
        <v>2000</v>
      </c>
      <c r="AC23" s="48">
        <v>0</v>
      </c>
      <c r="AD23" s="74"/>
      <c r="AE23" s="48"/>
      <c r="AF23" s="74"/>
      <c r="AG23" s="48"/>
      <c r="AH23" s="74"/>
      <c r="AI23" s="48"/>
      <c r="AJ23" s="74"/>
      <c r="AK23" s="48"/>
      <c r="AL23" s="74"/>
      <c r="AM23" s="48"/>
      <c r="AN23" s="74"/>
      <c r="AO23" s="48">
        <v>1165.48970416667</v>
      </c>
      <c r="AP23" s="74"/>
      <c r="AQ23" s="48">
        <v>700</v>
      </c>
      <c r="AR23" s="74">
        <v>0</v>
      </c>
      <c r="AS23" s="48">
        <v>0</v>
      </c>
      <c r="AT23" s="74"/>
      <c r="AU23" s="48"/>
      <c r="AV23" s="74">
        <v>1080</v>
      </c>
      <c r="AW23" s="48">
        <v>0</v>
      </c>
      <c r="AX23" s="74"/>
      <c r="AY23" s="48"/>
      <c r="AZ23" s="74">
        <v>0</v>
      </c>
      <c r="BA23" s="59">
        <v>0</v>
      </c>
      <c r="BB23" s="48">
        <v>32.880000000000003</v>
      </c>
      <c r="BC23" s="48">
        <v>240.02</v>
      </c>
      <c r="BG23" s="74">
        <v>18.001649999999998</v>
      </c>
    </row>
    <row r="24" spans="1:59" x14ac:dyDescent="0.25">
      <c r="A24" s="45">
        <v>1</v>
      </c>
      <c r="B24" s="45" t="s">
        <v>394</v>
      </c>
      <c r="C24" s="75" t="s">
        <v>368</v>
      </c>
      <c r="D24" s="74">
        <v>176</v>
      </c>
      <c r="E24" s="48">
        <v>0</v>
      </c>
      <c r="F24" s="74">
        <v>65</v>
      </c>
      <c r="G24" s="48">
        <v>31</v>
      </c>
      <c r="H24" s="74"/>
      <c r="I24" s="48"/>
      <c r="J24" s="74"/>
      <c r="K24" s="48"/>
      <c r="L24" s="74"/>
      <c r="M24" s="48"/>
      <c r="N24" s="74"/>
      <c r="O24" s="48"/>
      <c r="P24" s="74"/>
      <c r="Q24" s="48"/>
      <c r="R24" s="74"/>
      <c r="S24" s="48"/>
      <c r="T24" s="74">
        <v>269.32</v>
      </c>
      <c r="U24" s="48"/>
      <c r="V24" s="74"/>
      <c r="W24" s="48"/>
      <c r="X24" s="74">
        <v>142.32</v>
      </c>
      <c r="Y24" s="48">
        <v>0</v>
      </c>
      <c r="Z24" s="74"/>
      <c r="AA24" s="48"/>
      <c r="AB24" s="74">
        <v>994.4</v>
      </c>
      <c r="AC24" s="48">
        <v>0</v>
      </c>
      <c r="AD24" s="74"/>
      <c r="AE24" s="48"/>
      <c r="AF24" s="74"/>
      <c r="AG24" s="48"/>
      <c r="AH24" s="74"/>
      <c r="AI24" s="48"/>
      <c r="AJ24" s="74"/>
      <c r="AK24" s="48"/>
      <c r="AL24" s="74"/>
      <c r="AM24" s="48"/>
      <c r="AN24" s="74"/>
      <c r="AO24" s="48">
        <v>0</v>
      </c>
      <c r="AP24" s="74"/>
      <c r="AQ24" s="48">
        <v>0</v>
      </c>
      <c r="AR24" s="74">
        <v>0</v>
      </c>
      <c r="AS24" s="48">
        <v>0</v>
      </c>
      <c r="AT24" s="74"/>
      <c r="AU24" s="48"/>
      <c r="AV24" s="74">
        <v>640.52</v>
      </c>
      <c r="AW24" s="48">
        <v>0</v>
      </c>
      <c r="AX24" s="74"/>
      <c r="AY24" s="48"/>
      <c r="AZ24" s="74">
        <v>0</v>
      </c>
      <c r="BA24" s="59">
        <v>0</v>
      </c>
      <c r="BB24" s="48">
        <v>19.260000000000002</v>
      </c>
      <c r="BC24" s="48">
        <v>140.6</v>
      </c>
      <c r="BG24" s="74">
        <v>10.545299999999999</v>
      </c>
    </row>
    <row r="25" spans="1:59" x14ac:dyDescent="0.25">
      <c r="A25" s="45">
        <v>1</v>
      </c>
      <c r="B25" s="45" t="s">
        <v>395</v>
      </c>
      <c r="C25" s="75" t="s">
        <v>369</v>
      </c>
      <c r="D25" s="74">
        <v>200</v>
      </c>
      <c r="E25" s="48">
        <v>0</v>
      </c>
      <c r="F25" s="74">
        <v>73</v>
      </c>
      <c r="G25" s="48">
        <v>40</v>
      </c>
      <c r="H25" s="74"/>
      <c r="I25" s="48"/>
      <c r="J25" s="74"/>
      <c r="K25" s="48"/>
      <c r="L25" s="74"/>
      <c r="M25" s="48"/>
      <c r="N25" s="74"/>
      <c r="O25" s="48"/>
      <c r="P25" s="74"/>
      <c r="Q25" s="48"/>
      <c r="R25" s="74"/>
      <c r="S25" s="48"/>
      <c r="T25" s="74">
        <v>430.57</v>
      </c>
      <c r="U25" s="48"/>
      <c r="V25" s="74"/>
      <c r="W25" s="48"/>
      <c r="X25" s="74">
        <v>224.64</v>
      </c>
      <c r="Y25" s="48">
        <v>0</v>
      </c>
      <c r="Z25" s="74"/>
      <c r="AA25" s="48"/>
      <c r="AB25" s="74">
        <v>1300</v>
      </c>
      <c r="AC25" s="48">
        <v>0</v>
      </c>
      <c r="AD25" s="74"/>
      <c r="AE25" s="48"/>
      <c r="AF25" s="74"/>
      <c r="AG25" s="48"/>
      <c r="AH25" s="74"/>
      <c r="AI25" s="48"/>
      <c r="AJ25" s="74"/>
      <c r="AK25" s="48"/>
      <c r="AL25" s="74"/>
      <c r="AM25" s="48"/>
      <c r="AN25" s="74"/>
      <c r="AO25" s="48">
        <v>819.72500000000002</v>
      </c>
      <c r="AP25" s="74"/>
      <c r="AQ25" s="48">
        <v>300</v>
      </c>
      <c r="AR25" s="74">
        <v>0</v>
      </c>
      <c r="AS25" s="48">
        <v>0</v>
      </c>
      <c r="AT25" s="74"/>
      <c r="AU25" s="48"/>
      <c r="AV25" s="74">
        <v>906.94</v>
      </c>
      <c r="AW25" s="48">
        <v>0</v>
      </c>
      <c r="AX25" s="74"/>
      <c r="AY25" s="48"/>
      <c r="AZ25" s="74">
        <v>0</v>
      </c>
      <c r="BA25" s="59">
        <v>0</v>
      </c>
      <c r="BB25" s="48">
        <v>26.79</v>
      </c>
      <c r="BC25" s="48">
        <v>195.52</v>
      </c>
      <c r="BG25" s="74">
        <v>14.664075</v>
      </c>
    </row>
    <row r="26" spans="1:59" x14ac:dyDescent="0.25">
      <c r="A26" s="45">
        <v>1</v>
      </c>
      <c r="B26" s="45" t="s">
        <v>286</v>
      </c>
      <c r="C26" s="75" t="s">
        <v>274</v>
      </c>
      <c r="D26" s="74">
        <v>200</v>
      </c>
      <c r="E26" s="48">
        <v>0</v>
      </c>
      <c r="F26" s="74">
        <v>72</v>
      </c>
      <c r="G26" s="48">
        <v>40</v>
      </c>
      <c r="H26" s="74"/>
      <c r="I26" s="48"/>
      <c r="J26" s="74"/>
      <c r="K26" s="48"/>
      <c r="L26" s="74"/>
      <c r="M26" s="48"/>
      <c r="N26" s="74"/>
      <c r="O26" s="48"/>
      <c r="P26" s="74"/>
      <c r="Q26" s="48"/>
      <c r="R26" s="74"/>
      <c r="S26" s="48"/>
      <c r="T26" s="74">
        <v>575.73</v>
      </c>
      <c r="U26" s="48"/>
      <c r="V26" s="74"/>
      <c r="W26" s="48"/>
      <c r="X26" s="74">
        <v>306.55</v>
      </c>
      <c r="Y26" s="48">
        <v>0</v>
      </c>
      <c r="Z26" s="74"/>
      <c r="AA26" s="48"/>
      <c r="AB26" s="74">
        <v>1500</v>
      </c>
      <c r="AC26" s="48">
        <v>113</v>
      </c>
      <c r="AD26" s="74"/>
      <c r="AE26" s="48"/>
      <c r="AF26" s="74"/>
      <c r="AG26" s="48"/>
      <c r="AH26" s="74"/>
      <c r="AI26" s="48"/>
      <c r="AJ26" s="74"/>
      <c r="AK26" s="48"/>
      <c r="AL26" s="74"/>
      <c r="AM26" s="48"/>
      <c r="AN26" s="74"/>
      <c r="AO26" s="48">
        <v>1489.2363972222199</v>
      </c>
      <c r="AP26" s="74"/>
      <c r="AQ26" s="48">
        <v>570.39</v>
      </c>
      <c r="AR26" s="74">
        <v>0</v>
      </c>
      <c r="AS26" s="48">
        <v>0</v>
      </c>
      <c r="AT26" s="74"/>
      <c r="AU26" s="48"/>
      <c r="AV26" s="74">
        <v>1237.6199999999999</v>
      </c>
      <c r="AW26" s="48">
        <v>500</v>
      </c>
      <c r="AX26" s="74"/>
      <c r="AY26" s="48"/>
      <c r="AZ26" s="74">
        <v>0</v>
      </c>
      <c r="BA26" s="59">
        <v>0</v>
      </c>
      <c r="BB26" s="48">
        <v>34.19</v>
      </c>
      <c r="BC26" s="48">
        <v>249.53</v>
      </c>
      <c r="BG26" s="74">
        <v>18.714600000000001</v>
      </c>
    </row>
    <row r="27" spans="1:59" x14ac:dyDescent="0.25">
      <c r="A27" s="45">
        <v>1</v>
      </c>
      <c r="B27" s="45" t="s">
        <v>287</v>
      </c>
      <c r="C27" s="75" t="s">
        <v>275</v>
      </c>
      <c r="D27" s="74">
        <v>200</v>
      </c>
      <c r="E27" s="48">
        <v>0</v>
      </c>
      <c r="F27" s="74">
        <v>0</v>
      </c>
      <c r="G27" s="48">
        <v>0</v>
      </c>
      <c r="H27" s="74"/>
      <c r="I27" s="48"/>
      <c r="J27" s="74"/>
      <c r="K27" s="48"/>
      <c r="L27" s="74"/>
      <c r="M27" s="48"/>
      <c r="N27" s="74"/>
      <c r="O27" s="48"/>
      <c r="P27" s="74"/>
      <c r="Q27" s="48"/>
      <c r="R27" s="74"/>
      <c r="S27" s="48"/>
      <c r="T27" s="74">
        <v>0</v>
      </c>
      <c r="U27" s="48"/>
      <c r="V27" s="74"/>
      <c r="W27" s="48"/>
      <c r="X27" s="74">
        <v>0</v>
      </c>
      <c r="Y27" s="48">
        <v>0</v>
      </c>
      <c r="Z27" s="74"/>
      <c r="AA27" s="48"/>
      <c r="AB27" s="74">
        <v>1400</v>
      </c>
      <c r="AC27" s="48">
        <v>113</v>
      </c>
      <c r="AD27" s="74"/>
      <c r="AE27" s="48"/>
      <c r="AF27" s="74"/>
      <c r="AG27" s="48"/>
      <c r="AH27" s="74"/>
      <c r="AI27" s="48"/>
      <c r="AJ27" s="74"/>
      <c r="AK27" s="48"/>
      <c r="AL27" s="74"/>
      <c r="AM27" s="48"/>
      <c r="AN27" s="74"/>
      <c r="AO27" s="48">
        <v>891.14209861111101</v>
      </c>
      <c r="AP27" s="74"/>
      <c r="AQ27" s="48">
        <v>700</v>
      </c>
      <c r="AR27" s="74">
        <v>687</v>
      </c>
      <c r="AS27" s="48">
        <v>100</v>
      </c>
      <c r="AT27" s="74"/>
      <c r="AU27" s="48"/>
      <c r="AV27" s="74">
        <v>1200</v>
      </c>
      <c r="AW27" s="48">
        <v>500</v>
      </c>
      <c r="AX27" s="74"/>
      <c r="AY27" s="48"/>
      <c r="AZ27" s="74">
        <v>0</v>
      </c>
      <c r="BA27" s="59">
        <v>0</v>
      </c>
      <c r="BB27" s="48">
        <v>20.73</v>
      </c>
      <c r="BC27" s="48">
        <v>151.30000000000001</v>
      </c>
      <c r="BG27" s="74">
        <v>11.3475</v>
      </c>
    </row>
    <row r="28" spans="1:59" x14ac:dyDescent="0.25">
      <c r="A28" s="45">
        <v>1</v>
      </c>
      <c r="B28" s="45" t="s">
        <v>328</v>
      </c>
      <c r="C28" s="75" t="s">
        <v>320</v>
      </c>
      <c r="D28" s="74">
        <v>200</v>
      </c>
      <c r="E28" s="48">
        <v>0</v>
      </c>
      <c r="F28" s="74">
        <v>53</v>
      </c>
      <c r="G28" s="48">
        <v>16</v>
      </c>
      <c r="H28" s="74"/>
      <c r="I28" s="48"/>
      <c r="J28" s="74"/>
      <c r="K28" s="48"/>
      <c r="L28" s="74"/>
      <c r="M28" s="48"/>
      <c r="N28" s="74"/>
      <c r="O28" s="48"/>
      <c r="P28" s="74"/>
      <c r="Q28" s="48"/>
      <c r="R28" s="74"/>
      <c r="S28" s="48"/>
      <c r="T28" s="74">
        <v>494.57</v>
      </c>
      <c r="U28" s="48"/>
      <c r="V28" s="74"/>
      <c r="W28" s="48"/>
      <c r="X28" s="74">
        <v>122.99</v>
      </c>
      <c r="Y28" s="48">
        <v>0</v>
      </c>
      <c r="Z28" s="74"/>
      <c r="AA28" s="48"/>
      <c r="AB28" s="74">
        <v>2080</v>
      </c>
      <c r="AC28" s="48">
        <v>113</v>
      </c>
      <c r="AD28" s="74"/>
      <c r="AE28" s="48"/>
      <c r="AF28" s="74"/>
      <c r="AG28" s="48"/>
      <c r="AH28" s="74"/>
      <c r="AI28" s="48"/>
      <c r="AJ28" s="74"/>
      <c r="AK28" s="48"/>
      <c r="AL28" s="74"/>
      <c r="AM28" s="48"/>
      <c r="AN28" s="74"/>
      <c r="AO28" s="48">
        <v>1358.7635375</v>
      </c>
      <c r="AP28" s="74"/>
      <c r="AQ28" s="48">
        <v>0</v>
      </c>
      <c r="AR28" s="74">
        <v>0</v>
      </c>
      <c r="AS28" s="48">
        <v>0</v>
      </c>
      <c r="AT28" s="74"/>
      <c r="AU28" s="48"/>
      <c r="AV28" s="74">
        <v>877.2</v>
      </c>
      <c r="AW28" s="48">
        <v>0</v>
      </c>
      <c r="AX28" s="74"/>
      <c r="AY28" s="48"/>
      <c r="AZ28" s="74">
        <v>44.97</v>
      </c>
      <c r="BA28" s="59">
        <v>0</v>
      </c>
      <c r="BB28" s="48">
        <v>38.5</v>
      </c>
      <c r="BC28" s="48">
        <v>281.06</v>
      </c>
      <c r="BG28" s="74">
        <v>21.0792</v>
      </c>
    </row>
    <row r="29" spans="1:59" x14ac:dyDescent="0.25">
      <c r="A29" s="45">
        <v>1</v>
      </c>
      <c r="B29" s="45" t="s">
        <v>340</v>
      </c>
      <c r="C29" s="75" t="s">
        <v>343</v>
      </c>
      <c r="D29" s="74">
        <v>200</v>
      </c>
      <c r="E29" s="48">
        <v>0</v>
      </c>
      <c r="F29" s="74">
        <v>74</v>
      </c>
      <c r="G29" s="48">
        <v>15</v>
      </c>
      <c r="H29" s="74"/>
      <c r="I29" s="48"/>
      <c r="J29" s="74"/>
      <c r="K29" s="48"/>
      <c r="L29" s="74"/>
      <c r="M29" s="48"/>
      <c r="N29" s="74"/>
      <c r="O29" s="48"/>
      <c r="P29" s="74"/>
      <c r="Q29" s="48"/>
      <c r="R29" s="74"/>
      <c r="S29" s="48"/>
      <c r="T29" s="74">
        <v>482.08</v>
      </c>
      <c r="U29" s="48"/>
      <c r="V29" s="74"/>
      <c r="W29" s="48"/>
      <c r="X29" s="74">
        <v>252.51</v>
      </c>
      <c r="Y29" s="48">
        <v>0</v>
      </c>
      <c r="Z29" s="74"/>
      <c r="AA29" s="48"/>
      <c r="AB29" s="74">
        <v>1130</v>
      </c>
      <c r="AC29" s="48">
        <v>113</v>
      </c>
      <c r="AD29" s="74"/>
      <c r="AE29" s="48"/>
      <c r="AF29" s="74"/>
      <c r="AG29" s="48"/>
      <c r="AH29" s="74"/>
      <c r="AI29" s="48"/>
      <c r="AJ29" s="74"/>
      <c r="AK29" s="48"/>
      <c r="AL29" s="74"/>
      <c r="AM29" s="48"/>
      <c r="AN29" s="74"/>
      <c r="AO29" s="48">
        <v>1156.79465555556</v>
      </c>
      <c r="AP29" s="74"/>
      <c r="AQ29" s="48">
        <v>536.99</v>
      </c>
      <c r="AR29" s="74">
        <v>0</v>
      </c>
      <c r="AS29" s="48">
        <v>0</v>
      </c>
      <c r="AT29" s="74"/>
      <c r="AU29" s="48"/>
      <c r="AV29" s="74">
        <v>1008.96</v>
      </c>
      <c r="AW29" s="48">
        <v>0</v>
      </c>
      <c r="AX29" s="74"/>
      <c r="AY29" s="48"/>
      <c r="AZ29" s="74">
        <v>0</v>
      </c>
      <c r="BA29" s="59">
        <v>0</v>
      </c>
      <c r="BB29" s="48">
        <v>27.09</v>
      </c>
      <c r="BC29" s="48">
        <v>197.76</v>
      </c>
      <c r="BG29" s="74">
        <v>14.831924999999998</v>
      </c>
    </row>
    <row r="30" spans="1:59" x14ac:dyDescent="0.25">
      <c r="A30" s="45">
        <v>1</v>
      </c>
      <c r="B30" s="45" t="s">
        <v>396</v>
      </c>
      <c r="C30" s="75" t="s">
        <v>370</v>
      </c>
      <c r="D30" s="74">
        <v>192</v>
      </c>
      <c r="E30" s="48">
        <v>0</v>
      </c>
      <c r="F30" s="74">
        <v>71</v>
      </c>
      <c r="G30" s="48">
        <v>55</v>
      </c>
      <c r="H30" s="74"/>
      <c r="I30" s="48"/>
      <c r="J30" s="74"/>
      <c r="K30" s="48"/>
      <c r="L30" s="74"/>
      <c r="M30" s="48"/>
      <c r="N30" s="74"/>
      <c r="O30" s="48"/>
      <c r="P30" s="74"/>
      <c r="Q30" s="48"/>
      <c r="R30" s="74"/>
      <c r="S30" s="48"/>
      <c r="T30" s="74">
        <v>422</v>
      </c>
      <c r="U30" s="48"/>
      <c r="V30" s="74"/>
      <c r="W30" s="48"/>
      <c r="X30" s="74">
        <v>227.12</v>
      </c>
      <c r="Y30" s="48">
        <v>0</v>
      </c>
      <c r="Z30" s="74"/>
      <c r="AA30" s="48"/>
      <c r="AB30" s="74">
        <v>1084.8</v>
      </c>
      <c r="AC30" s="48">
        <v>0</v>
      </c>
      <c r="AD30" s="74"/>
      <c r="AE30" s="48"/>
      <c r="AF30" s="74"/>
      <c r="AG30" s="48"/>
      <c r="AH30" s="74"/>
      <c r="AI30" s="48"/>
      <c r="AJ30" s="74"/>
      <c r="AK30" s="48"/>
      <c r="AL30" s="74"/>
      <c r="AM30" s="48"/>
      <c r="AN30" s="74"/>
      <c r="AO30" s="48">
        <v>411.58305555555597</v>
      </c>
      <c r="AP30" s="74"/>
      <c r="AQ30" s="48">
        <v>473.33</v>
      </c>
      <c r="AR30" s="74">
        <v>0</v>
      </c>
      <c r="AS30" s="48">
        <v>0</v>
      </c>
      <c r="AT30" s="74"/>
      <c r="AU30" s="48"/>
      <c r="AV30" s="74">
        <v>920</v>
      </c>
      <c r="AW30" s="48">
        <v>0</v>
      </c>
      <c r="AX30" s="74"/>
      <c r="AY30" s="48"/>
      <c r="AZ30" s="74">
        <v>0</v>
      </c>
      <c r="BA30" s="59">
        <v>0</v>
      </c>
      <c r="BB30" s="48">
        <v>23.75</v>
      </c>
      <c r="BC30" s="48">
        <v>173.39</v>
      </c>
      <c r="BG30" s="74">
        <v>13.0044</v>
      </c>
    </row>
    <row r="31" spans="1:59" x14ac:dyDescent="0.25">
      <c r="A31" s="45">
        <v>1</v>
      </c>
      <c r="B31" s="45" t="s">
        <v>288</v>
      </c>
      <c r="C31" s="75" t="s">
        <v>276</v>
      </c>
      <c r="D31" s="74">
        <v>200</v>
      </c>
      <c r="E31" s="48">
        <v>0</v>
      </c>
      <c r="F31" s="74">
        <v>75</v>
      </c>
      <c r="G31" s="48">
        <v>0</v>
      </c>
      <c r="H31" s="74"/>
      <c r="I31" s="48"/>
      <c r="J31" s="74"/>
      <c r="K31" s="48"/>
      <c r="L31" s="74"/>
      <c r="M31" s="48"/>
      <c r="N31" s="74"/>
      <c r="O31" s="48"/>
      <c r="P31" s="74"/>
      <c r="Q31" s="48"/>
      <c r="R31" s="74"/>
      <c r="S31" s="48"/>
      <c r="T31" s="74">
        <v>955.6</v>
      </c>
      <c r="U31" s="48"/>
      <c r="V31" s="74"/>
      <c r="W31" s="48"/>
      <c r="X31" s="74">
        <v>516.03</v>
      </c>
      <c r="Y31" s="48">
        <v>0</v>
      </c>
      <c r="Z31" s="74"/>
      <c r="AA31" s="48"/>
      <c r="AB31" s="74">
        <v>1500</v>
      </c>
      <c r="AC31" s="48">
        <v>113</v>
      </c>
      <c r="AD31" s="74"/>
      <c r="AE31" s="48"/>
      <c r="AF31" s="74"/>
      <c r="AG31" s="48"/>
      <c r="AH31" s="74"/>
      <c r="AI31" s="48"/>
      <c r="AJ31" s="74"/>
      <c r="AK31" s="48"/>
      <c r="AL31" s="74"/>
      <c r="AM31" s="48"/>
      <c r="AN31" s="74"/>
      <c r="AO31" s="48">
        <v>1804.4324472222199</v>
      </c>
      <c r="AP31" s="74"/>
      <c r="AQ31" s="48">
        <v>1200</v>
      </c>
      <c r="AR31" s="74">
        <v>715.37</v>
      </c>
      <c r="AS31" s="48">
        <v>0</v>
      </c>
      <c r="AT31" s="74"/>
      <c r="AU31" s="48"/>
      <c r="AV31" s="74">
        <v>2000</v>
      </c>
      <c r="AW31" s="48">
        <v>0</v>
      </c>
      <c r="AX31" s="74"/>
      <c r="AY31" s="48"/>
      <c r="AZ31" s="74">
        <v>0</v>
      </c>
      <c r="BA31" s="59">
        <v>0</v>
      </c>
      <c r="BB31" s="48">
        <v>42.26</v>
      </c>
      <c r="BC31" s="48">
        <v>308.45999999999998</v>
      </c>
      <c r="BG31" s="74">
        <v>23.134725</v>
      </c>
    </row>
    <row r="32" spans="1:59" x14ac:dyDescent="0.25">
      <c r="A32" s="45">
        <v>1</v>
      </c>
      <c r="B32" s="45" t="s">
        <v>397</v>
      </c>
      <c r="C32" s="75" t="s">
        <v>371</v>
      </c>
      <c r="D32" s="74">
        <v>200</v>
      </c>
      <c r="E32" s="48">
        <v>0</v>
      </c>
      <c r="F32" s="74">
        <v>75</v>
      </c>
      <c r="G32" s="48">
        <v>0</v>
      </c>
      <c r="H32" s="74"/>
      <c r="I32" s="48"/>
      <c r="J32" s="74"/>
      <c r="K32" s="48"/>
      <c r="L32" s="74"/>
      <c r="M32" s="48"/>
      <c r="N32" s="74"/>
      <c r="O32" s="48"/>
      <c r="P32" s="74"/>
      <c r="Q32" s="48"/>
      <c r="R32" s="74"/>
      <c r="S32" s="48"/>
      <c r="T32" s="74">
        <v>324.89999999999998</v>
      </c>
      <c r="U32" s="48"/>
      <c r="V32" s="74"/>
      <c r="W32" s="48"/>
      <c r="X32" s="74">
        <v>175.45</v>
      </c>
      <c r="Y32" s="48">
        <v>0</v>
      </c>
      <c r="Z32" s="74"/>
      <c r="AA32" s="48"/>
      <c r="AB32" s="74">
        <v>1130</v>
      </c>
      <c r="AC32" s="48">
        <v>0</v>
      </c>
      <c r="AD32" s="74"/>
      <c r="AE32" s="48"/>
      <c r="AF32" s="74"/>
      <c r="AG32" s="48"/>
      <c r="AH32" s="74"/>
      <c r="AI32" s="48"/>
      <c r="AJ32" s="74"/>
      <c r="AK32" s="48"/>
      <c r="AL32" s="74"/>
      <c r="AM32" s="48"/>
      <c r="AN32" s="74"/>
      <c r="AO32" s="48">
        <v>547.11083333333295</v>
      </c>
      <c r="AP32" s="74"/>
      <c r="AQ32" s="48">
        <v>69.650000000000006</v>
      </c>
      <c r="AR32" s="74">
        <v>0</v>
      </c>
      <c r="AS32" s="48">
        <v>0</v>
      </c>
      <c r="AT32" s="74"/>
      <c r="AU32" s="48"/>
      <c r="AV32" s="74">
        <v>640.52</v>
      </c>
      <c r="AW32" s="48">
        <v>0</v>
      </c>
      <c r="AX32" s="74"/>
      <c r="AY32" s="48"/>
      <c r="AZ32" s="74">
        <v>0</v>
      </c>
      <c r="BA32" s="59">
        <v>0</v>
      </c>
      <c r="BB32" s="48">
        <v>22.34</v>
      </c>
      <c r="BC32" s="48">
        <v>163.04</v>
      </c>
      <c r="BG32" s="74">
        <v>12.227625</v>
      </c>
    </row>
    <row r="33" spans="1:59" x14ac:dyDescent="0.25">
      <c r="A33" s="45">
        <v>1</v>
      </c>
      <c r="B33" s="45" t="s">
        <v>398</v>
      </c>
      <c r="C33" s="75" t="s">
        <v>372</v>
      </c>
      <c r="D33" s="74">
        <v>200</v>
      </c>
      <c r="E33" s="48">
        <v>0</v>
      </c>
      <c r="F33" s="74">
        <v>71</v>
      </c>
      <c r="G33" s="48">
        <v>20</v>
      </c>
      <c r="H33" s="74"/>
      <c r="I33" s="48"/>
      <c r="J33" s="74"/>
      <c r="K33" s="48"/>
      <c r="L33" s="74"/>
      <c r="M33" s="48"/>
      <c r="N33" s="74"/>
      <c r="O33" s="48"/>
      <c r="P33" s="74"/>
      <c r="Q33" s="48"/>
      <c r="R33" s="74"/>
      <c r="S33" s="48"/>
      <c r="T33" s="74">
        <v>416.01</v>
      </c>
      <c r="U33" s="48"/>
      <c r="V33" s="74"/>
      <c r="W33" s="48"/>
      <c r="X33" s="74">
        <v>218.46</v>
      </c>
      <c r="Y33" s="48">
        <v>0</v>
      </c>
      <c r="Z33" s="74"/>
      <c r="AA33" s="48"/>
      <c r="AB33" s="74">
        <v>1300</v>
      </c>
      <c r="AC33" s="48">
        <v>0</v>
      </c>
      <c r="AD33" s="74"/>
      <c r="AE33" s="48"/>
      <c r="AF33" s="74"/>
      <c r="AG33" s="48"/>
      <c r="AH33" s="74"/>
      <c r="AI33" s="48"/>
      <c r="AJ33" s="74"/>
      <c r="AK33" s="48"/>
      <c r="AL33" s="74"/>
      <c r="AM33" s="48"/>
      <c r="AN33" s="74"/>
      <c r="AO33" s="48">
        <v>770.54150000000004</v>
      </c>
      <c r="AP33" s="74"/>
      <c r="AQ33" s="48">
        <v>300</v>
      </c>
      <c r="AR33" s="74">
        <v>0</v>
      </c>
      <c r="AS33" s="48">
        <v>0</v>
      </c>
      <c r="AT33" s="74"/>
      <c r="AU33" s="48"/>
      <c r="AV33" s="74">
        <v>906.94</v>
      </c>
      <c r="AW33" s="48">
        <v>0</v>
      </c>
      <c r="AX33" s="74"/>
      <c r="AY33" s="48"/>
      <c r="AZ33" s="74">
        <v>0</v>
      </c>
      <c r="BA33" s="59">
        <v>0</v>
      </c>
      <c r="BB33" s="48">
        <v>26.5</v>
      </c>
      <c r="BC33" s="48">
        <v>193.45</v>
      </c>
      <c r="BG33" s="74">
        <v>14.508524999999999</v>
      </c>
    </row>
    <row r="34" spans="1:59" x14ac:dyDescent="0.25">
      <c r="A34" s="45">
        <v>1</v>
      </c>
      <c r="B34" s="45" t="s">
        <v>352</v>
      </c>
      <c r="C34" s="75" t="s">
        <v>356</v>
      </c>
      <c r="D34" s="74">
        <v>200</v>
      </c>
      <c r="E34" s="48">
        <v>0</v>
      </c>
      <c r="F34" s="74">
        <v>0</v>
      </c>
      <c r="G34" s="48">
        <v>0</v>
      </c>
      <c r="H34" s="74"/>
      <c r="I34" s="48"/>
      <c r="J34" s="74"/>
      <c r="K34" s="48"/>
      <c r="L34" s="74"/>
      <c r="M34" s="48"/>
      <c r="N34" s="74"/>
      <c r="O34" s="48"/>
      <c r="P34" s="74"/>
      <c r="Q34" s="48"/>
      <c r="R34" s="74"/>
      <c r="S34" s="48"/>
      <c r="T34" s="74">
        <v>0</v>
      </c>
      <c r="U34" s="48"/>
      <c r="V34" s="74"/>
      <c r="W34" s="48"/>
      <c r="X34" s="74">
        <v>0</v>
      </c>
      <c r="Y34" s="48">
        <v>0</v>
      </c>
      <c r="Z34" s="74"/>
      <c r="AA34" s="48"/>
      <c r="AB34" s="74">
        <v>2151.7600000000002</v>
      </c>
      <c r="AC34" s="48">
        <v>0</v>
      </c>
      <c r="AD34" s="74"/>
      <c r="AE34" s="48"/>
      <c r="AF34" s="74"/>
      <c r="AG34" s="48"/>
      <c r="AH34" s="74"/>
      <c r="AI34" s="48"/>
      <c r="AJ34" s="74"/>
      <c r="AK34" s="48"/>
      <c r="AL34" s="74"/>
      <c r="AM34" s="48"/>
      <c r="AN34" s="74"/>
      <c r="AO34" s="48">
        <v>1203.5206652777799</v>
      </c>
      <c r="AP34" s="74"/>
      <c r="AQ34" s="48">
        <v>0</v>
      </c>
      <c r="AR34" s="74">
        <v>0</v>
      </c>
      <c r="AS34" s="48">
        <v>0</v>
      </c>
      <c r="AT34" s="74"/>
      <c r="AU34" s="48"/>
      <c r="AV34" s="74">
        <v>860.7</v>
      </c>
      <c r="AW34" s="48">
        <v>0</v>
      </c>
      <c r="AX34" s="74"/>
      <c r="AY34" s="48"/>
      <c r="AZ34" s="74">
        <v>0</v>
      </c>
      <c r="BA34" s="59">
        <v>0</v>
      </c>
      <c r="BB34" s="48">
        <v>29.48</v>
      </c>
      <c r="BC34" s="48">
        <v>215.18</v>
      </c>
      <c r="BG34" s="74">
        <v>16.138200000000001</v>
      </c>
    </row>
    <row r="35" spans="1:59" x14ac:dyDescent="0.25">
      <c r="A35" s="45">
        <v>1</v>
      </c>
      <c r="B35" s="45" t="s">
        <v>329</v>
      </c>
      <c r="C35" s="75" t="s">
        <v>321</v>
      </c>
      <c r="D35" s="74">
        <v>192</v>
      </c>
      <c r="E35" s="48">
        <v>0</v>
      </c>
      <c r="F35" s="74">
        <v>65</v>
      </c>
      <c r="G35" s="48">
        <v>23</v>
      </c>
      <c r="H35" s="74"/>
      <c r="I35" s="48"/>
      <c r="J35" s="74"/>
      <c r="K35" s="48"/>
      <c r="L35" s="74"/>
      <c r="M35" s="48"/>
      <c r="N35" s="74"/>
      <c r="O35" s="48"/>
      <c r="P35" s="74"/>
      <c r="Q35" s="48"/>
      <c r="R35" s="74"/>
      <c r="S35" s="48"/>
      <c r="T35" s="74">
        <v>307.89999999999998</v>
      </c>
      <c r="U35" s="48"/>
      <c r="V35" s="74"/>
      <c r="W35" s="48"/>
      <c r="X35" s="74">
        <v>153.37</v>
      </c>
      <c r="Y35" s="48">
        <v>0</v>
      </c>
      <c r="Z35" s="74"/>
      <c r="AA35" s="48"/>
      <c r="AB35" s="74">
        <v>1084.8</v>
      </c>
      <c r="AC35" s="48">
        <v>0</v>
      </c>
      <c r="AD35" s="74"/>
      <c r="AE35" s="48"/>
      <c r="AF35" s="74"/>
      <c r="AG35" s="48"/>
      <c r="AH35" s="74"/>
      <c r="AI35" s="48"/>
      <c r="AJ35" s="74"/>
      <c r="AK35" s="48"/>
      <c r="AL35" s="74"/>
      <c r="AM35" s="48"/>
      <c r="AN35" s="74"/>
      <c r="AO35" s="48">
        <v>986.93069444444404</v>
      </c>
      <c r="AP35" s="74"/>
      <c r="AQ35" s="48">
        <v>134.61000000000001</v>
      </c>
      <c r="AR35" s="74">
        <v>0</v>
      </c>
      <c r="AS35" s="48">
        <v>0</v>
      </c>
      <c r="AT35" s="74"/>
      <c r="AU35" s="48"/>
      <c r="AV35" s="74">
        <v>720</v>
      </c>
      <c r="AW35" s="48">
        <v>0</v>
      </c>
      <c r="AX35" s="74"/>
      <c r="AY35" s="48"/>
      <c r="AZ35" s="74">
        <v>0</v>
      </c>
      <c r="BA35" s="59">
        <v>0</v>
      </c>
      <c r="BB35" s="48">
        <v>0</v>
      </c>
      <c r="BC35" s="48">
        <v>200.99</v>
      </c>
      <c r="BG35" s="74">
        <v>11.595524999999999</v>
      </c>
    </row>
    <row r="36" spans="1:59" x14ac:dyDescent="0.25">
      <c r="A36" s="45">
        <v>1</v>
      </c>
      <c r="B36" s="45" t="s">
        <v>330</v>
      </c>
      <c r="C36" s="75" t="s">
        <v>322</v>
      </c>
      <c r="D36" s="74">
        <v>200</v>
      </c>
      <c r="E36" s="48">
        <v>0</v>
      </c>
      <c r="F36" s="74">
        <v>75</v>
      </c>
      <c r="G36" s="48">
        <v>0</v>
      </c>
      <c r="H36" s="74"/>
      <c r="I36" s="48"/>
      <c r="J36" s="74"/>
      <c r="K36" s="48"/>
      <c r="L36" s="74"/>
      <c r="M36" s="48"/>
      <c r="N36" s="74"/>
      <c r="O36" s="48"/>
      <c r="P36" s="74"/>
      <c r="Q36" s="48"/>
      <c r="R36" s="74"/>
      <c r="S36" s="48"/>
      <c r="T36" s="74">
        <v>410.91</v>
      </c>
      <c r="U36" s="48"/>
      <c r="V36" s="74"/>
      <c r="W36" s="48"/>
      <c r="X36" s="74">
        <v>221.89</v>
      </c>
      <c r="Y36" s="48">
        <v>0</v>
      </c>
      <c r="Z36" s="74"/>
      <c r="AA36" s="48"/>
      <c r="AB36" s="74">
        <v>1130</v>
      </c>
      <c r="AC36" s="48">
        <v>113</v>
      </c>
      <c r="AD36" s="74"/>
      <c r="AE36" s="48"/>
      <c r="AF36" s="74"/>
      <c r="AG36" s="48"/>
      <c r="AH36" s="74"/>
      <c r="AI36" s="48"/>
      <c r="AJ36" s="74"/>
      <c r="AK36" s="48"/>
      <c r="AL36" s="74"/>
      <c r="AM36" s="48"/>
      <c r="AN36" s="74"/>
      <c r="AO36" s="48">
        <v>1102.69407222222</v>
      </c>
      <c r="AP36" s="74"/>
      <c r="AQ36" s="48">
        <v>574.20000000000005</v>
      </c>
      <c r="AR36" s="74">
        <v>0</v>
      </c>
      <c r="AS36" s="48">
        <v>0</v>
      </c>
      <c r="AT36" s="74"/>
      <c r="AU36" s="48"/>
      <c r="AV36" s="74">
        <v>980</v>
      </c>
      <c r="AW36" s="48">
        <v>0</v>
      </c>
      <c r="AX36" s="74"/>
      <c r="AY36" s="48"/>
      <c r="AZ36" s="74">
        <v>0</v>
      </c>
      <c r="BA36" s="59">
        <v>0</v>
      </c>
      <c r="BB36" s="48">
        <v>25.7</v>
      </c>
      <c r="BC36" s="48">
        <v>187.58</v>
      </c>
      <c r="BG36" s="74">
        <v>14.068499999999998</v>
      </c>
    </row>
    <row r="37" spans="1:59" x14ac:dyDescent="0.25">
      <c r="A37" s="45">
        <v>4</v>
      </c>
      <c r="B37" s="45" t="s">
        <v>353</v>
      </c>
      <c r="C37" s="75" t="s">
        <v>357</v>
      </c>
      <c r="D37" s="74">
        <v>192</v>
      </c>
      <c r="E37" s="48">
        <v>0</v>
      </c>
      <c r="F37" s="74">
        <v>72</v>
      </c>
      <c r="G37" s="48">
        <v>0</v>
      </c>
      <c r="H37" s="74"/>
      <c r="I37" s="48"/>
      <c r="J37" s="74"/>
      <c r="K37" s="48"/>
      <c r="L37" s="74"/>
      <c r="M37" s="48"/>
      <c r="N37" s="74"/>
      <c r="O37" s="48"/>
      <c r="P37" s="74"/>
      <c r="Q37" s="48"/>
      <c r="R37" s="74"/>
      <c r="S37" s="48"/>
      <c r="T37" s="74">
        <v>311.89999999999998</v>
      </c>
      <c r="U37" s="48"/>
      <c r="V37" s="74"/>
      <c r="W37" s="48"/>
      <c r="X37" s="74">
        <v>168.43</v>
      </c>
      <c r="Y37" s="48">
        <v>0</v>
      </c>
      <c r="Z37" s="74"/>
      <c r="AA37" s="48"/>
      <c r="AB37" s="74">
        <v>1151.6600000000001</v>
      </c>
      <c r="AC37" s="48">
        <v>0</v>
      </c>
      <c r="AD37" s="74"/>
      <c r="AE37" s="48"/>
      <c r="AF37" s="74"/>
      <c r="AG37" s="48"/>
      <c r="AH37" s="74"/>
      <c r="AI37" s="48"/>
      <c r="AJ37" s="74"/>
      <c r="AK37" s="48"/>
      <c r="AL37" s="74"/>
      <c r="AM37" s="48"/>
      <c r="AN37" s="74"/>
      <c r="AO37" s="48">
        <v>945.08872361111105</v>
      </c>
      <c r="AP37" s="74"/>
      <c r="AQ37" s="48">
        <v>0</v>
      </c>
      <c r="AR37" s="74">
        <v>0</v>
      </c>
      <c r="AS37" s="48">
        <v>0</v>
      </c>
      <c r="AT37" s="74"/>
      <c r="AU37" s="48"/>
      <c r="AV37" s="74">
        <v>680</v>
      </c>
      <c r="AW37" s="48">
        <v>300</v>
      </c>
      <c r="AX37" s="74"/>
      <c r="AY37" s="48"/>
      <c r="AZ37" s="74">
        <v>0</v>
      </c>
      <c r="BA37" s="59">
        <v>0</v>
      </c>
      <c r="BB37" s="48">
        <v>22.36</v>
      </c>
      <c r="BC37" s="48">
        <v>163.19999999999999</v>
      </c>
      <c r="BG37" s="74">
        <v>12.239924999999999</v>
      </c>
    </row>
    <row r="38" spans="1:59" x14ac:dyDescent="0.25">
      <c r="A38" s="45">
        <v>1</v>
      </c>
      <c r="B38" s="45" t="s">
        <v>399</v>
      </c>
      <c r="C38" s="75" t="s">
        <v>373</v>
      </c>
      <c r="D38" s="74">
        <v>200</v>
      </c>
      <c r="E38" s="48">
        <v>0</v>
      </c>
      <c r="F38" s="74">
        <v>74</v>
      </c>
      <c r="G38" s="48">
        <v>58</v>
      </c>
      <c r="H38" s="74"/>
      <c r="I38" s="48"/>
      <c r="J38" s="74"/>
      <c r="K38" s="48"/>
      <c r="L38" s="74"/>
      <c r="M38" s="48"/>
      <c r="N38" s="74"/>
      <c r="O38" s="48"/>
      <c r="P38" s="74"/>
      <c r="Q38" s="48"/>
      <c r="R38" s="74"/>
      <c r="S38" s="48"/>
      <c r="T38" s="74">
        <v>862.77</v>
      </c>
      <c r="U38" s="48"/>
      <c r="V38" s="74"/>
      <c r="W38" s="48"/>
      <c r="X38" s="74">
        <v>465.33</v>
      </c>
      <c r="Y38" s="48">
        <v>496.95</v>
      </c>
      <c r="Z38" s="74"/>
      <c r="AA38" s="48"/>
      <c r="AB38" s="74">
        <v>3200</v>
      </c>
      <c r="AC38" s="48">
        <v>113</v>
      </c>
      <c r="AD38" s="74"/>
      <c r="AE38" s="48"/>
      <c r="AF38" s="74"/>
      <c r="AG38" s="48"/>
      <c r="AH38" s="74"/>
      <c r="AI38" s="48"/>
      <c r="AJ38" s="74"/>
      <c r="AK38" s="48"/>
      <c r="AL38" s="74"/>
      <c r="AM38" s="48"/>
      <c r="AN38" s="74"/>
      <c r="AO38" s="48">
        <v>201.083333333333</v>
      </c>
      <c r="AP38" s="74"/>
      <c r="AQ38" s="48">
        <v>0</v>
      </c>
      <c r="AR38" s="74">
        <v>0</v>
      </c>
      <c r="AS38" s="48">
        <v>0</v>
      </c>
      <c r="AT38" s="74"/>
      <c r="AU38" s="48"/>
      <c r="AV38" s="74">
        <v>1325.2</v>
      </c>
      <c r="AW38" s="48">
        <v>0</v>
      </c>
      <c r="AX38" s="74"/>
      <c r="AY38" s="48"/>
      <c r="AZ38" s="74">
        <v>82.21</v>
      </c>
      <c r="BA38" s="59">
        <v>0</v>
      </c>
      <c r="BB38" s="48">
        <v>70.39</v>
      </c>
      <c r="BC38" s="48">
        <v>513.80999999999995</v>
      </c>
      <c r="BG38" s="74">
        <v>38.535375000000002</v>
      </c>
    </row>
    <row r="39" spans="1:59" x14ac:dyDescent="0.25">
      <c r="A39" s="45">
        <v>1</v>
      </c>
      <c r="B39" s="45" t="s">
        <v>400</v>
      </c>
      <c r="C39" s="75" t="s">
        <v>374</v>
      </c>
      <c r="D39" s="74">
        <v>184</v>
      </c>
      <c r="E39" s="48">
        <v>0</v>
      </c>
      <c r="F39" s="74">
        <v>65</v>
      </c>
      <c r="G39" s="48">
        <v>52</v>
      </c>
      <c r="H39" s="74"/>
      <c r="I39" s="48"/>
      <c r="J39" s="74"/>
      <c r="K39" s="48"/>
      <c r="L39" s="74"/>
      <c r="M39" s="48"/>
      <c r="N39" s="74"/>
      <c r="O39" s="48"/>
      <c r="P39" s="74"/>
      <c r="Q39" s="48"/>
      <c r="R39" s="74"/>
      <c r="S39" s="48"/>
      <c r="T39" s="74">
        <v>356.25</v>
      </c>
      <c r="U39" s="48"/>
      <c r="V39" s="74"/>
      <c r="W39" s="48"/>
      <c r="X39" s="74">
        <v>186.3</v>
      </c>
      <c r="Y39" s="48">
        <v>0</v>
      </c>
      <c r="Z39" s="74"/>
      <c r="AA39" s="48"/>
      <c r="AB39" s="74">
        <v>1039.5999999999999</v>
      </c>
      <c r="AC39" s="48">
        <v>0</v>
      </c>
      <c r="AD39" s="74"/>
      <c r="AE39" s="48"/>
      <c r="AF39" s="74"/>
      <c r="AG39" s="48"/>
      <c r="AH39" s="74"/>
      <c r="AI39" s="48"/>
      <c r="AJ39" s="74"/>
      <c r="AK39" s="48"/>
      <c r="AL39" s="74"/>
      <c r="AM39" s="48"/>
      <c r="AN39" s="74"/>
      <c r="AO39" s="48">
        <v>427.310888888889</v>
      </c>
      <c r="AP39" s="74"/>
      <c r="AQ39" s="48">
        <v>323.77</v>
      </c>
      <c r="AR39" s="74">
        <v>0</v>
      </c>
      <c r="AS39" s="48">
        <v>0</v>
      </c>
      <c r="AT39" s="74"/>
      <c r="AU39" s="48"/>
      <c r="AV39" s="74">
        <v>840</v>
      </c>
      <c r="AW39" s="48">
        <v>150</v>
      </c>
      <c r="AX39" s="74"/>
      <c r="AY39" s="48"/>
      <c r="AZ39" s="74">
        <v>0</v>
      </c>
      <c r="BA39" s="59">
        <v>0</v>
      </c>
      <c r="BB39" s="48">
        <v>0</v>
      </c>
      <c r="BC39" s="48">
        <v>205.68</v>
      </c>
      <c r="BG39" s="74">
        <v>11.866125</v>
      </c>
    </row>
    <row r="40" spans="1:59" x14ac:dyDescent="0.25">
      <c r="A40" s="45">
        <v>1</v>
      </c>
      <c r="B40" s="45" t="s">
        <v>289</v>
      </c>
      <c r="C40" s="75" t="s">
        <v>277</v>
      </c>
      <c r="D40" s="74">
        <v>200</v>
      </c>
      <c r="E40" s="48">
        <v>0</v>
      </c>
      <c r="F40" s="74">
        <v>75</v>
      </c>
      <c r="G40" s="48">
        <v>0</v>
      </c>
      <c r="H40" s="74"/>
      <c r="I40" s="48"/>
      <c r="J40" s="74"/>
      <c r="K40" s="48"/>
      <c r="L40" s="74"/>
      <c r="M40" s="48"/>
      <c r="N40" s="74"/>
      <c r="O40" s="48"/>
      <c r="P40" s="74"/>
      <c r="Q40" s="48"/>
      <c r="R40" s="74"/>
      <c r="S40" s="48"/>
      <c r="T40" s="74">
        <v>535.61</v>
      </c>
      <c r="U40" s="48"/>
      <c r="V40" s="74"/>
      <c r="W40" s="48"/>
      <c r="X40" s="74">
        <v>289.23</v>
      </c>
      <c r="Y40" s="48">
        <v>0</v>
      </c>
      <c r="Z40" s="74"/>
      <c r="AA40" s="48"/>
      <c r="AB40" s="74">
        <v>1130</v>
      </c>
      <c r="AC40" s="48">
        <v>113</v>
      </c>
      <c r="AD40" s="74"/>
      <c r="AE40" s="48"/>
      <c r="AF40" s="74"/>
      <c r="AG40" s="48"/>
      <c r="AH40" s="74"/>
      <c r="AI40" s="48"/>
      <c r="AJ40" s="74"/>
      <c r="AK40" s="48"/>
      <c r="AL40" s="74"/>
      <c r="AM40" s="48"/>
      <c r="AN40" s="74"/>
      <c r="AO40" s="48">
        <v>1221.7488000000001</v>
      </c>
      <c r="AP40" s="74"/>
      <c r="AQ40" s="48">
        <v>500</v>
      </c>
      <c r="AR40" s="74">
        <v>234.66</v>
      </c>
      <c r="AS40" s="48">
        <v>0</v>
      </c>
      <c r="AT40" s="74"/>
      <c r="AU40" s="48"/>
      <c r="AV40" s="74">
        <v>1121</v>
      </c>
      <c r="AW40" s="48">
        <v>0</v>
      </c>
      <c r="AX40" s="74"/>
      <c r="AY40" s="48"/>
      <c r="AZ40" s="74">
        <v>32.049999999999997</v>
      </c>
      <c r="BA40" s="59">
        <v>0</v>
      </c>
      <c r="BB40" s="48">
        <v>28.33</v>
      </c>
      <c r="BC40" s="48">
        <v>206.78</v>
      </c>
      <c r="BG40" s="74">
        <v>15.508800000000001</v>
      </c>
    </row>
    <row r="41" spans="1:59" x14ac:dyDescent="0.25">
      <c r="A41" s="45">
        <v>1</v>
      </c>
      <c r="B41" s="45" t="s">
        <v>401</v>
      </c>
      <c r="C41" s="75" t="s">
        <v>375</v>
      </c>
      <c r="D41" s="74">
        <v>200</v>
      </c>
      <c r="E41" s="48">
        <v>0</v>
      </c>
      <c r="F41" s="74">
        <v>75</v>
      </c>
      <c r="G41" s="48">
        <v>0</v>
      </c>
      <c r="H41" s="74"/>
      <c r="I41" s="48"/>
      <c r="J41" s="74"/>
      <c r="K41" s="48"/>
      <c r="L41" s="74"/>
      <c r="M41" s="48"/>
      <c r="N41" s="74"/>
      <c r="O41" s="48"/>
      <c r="P41" s="74"/>
      <c r="Q41" s="48"/>
      <c r="R41" s="74"/>
      <c r="S41" s="48"/>
      <c r="T41" s="74">
        <v>324.89999999999998</v>
      </c>
      <c r="U41" s="48"/>
      <c r="V41" s="74"/>
      <c r="W41" s="48"/>
      <c r="X41" s="74">
        <v>175.45</v>
      </c>
      <c r="Y41" s="48">
        <v>0</v>
      </c>
      <c r="Z41" s="74"/>
      <c r="AA41" s="48"/>
      <c r="AB41" s="74">
        <v>1199.6500000000001</v>
      </c>
      <c r="AC41" s="48">
        <v>0</v>
      </c>
      <c r="AD41" s="74"/>
      <c r="AE41" s="48"/>
      <c r="AF41" s="74"/>
      <c r="AG41" s="48"/>
      <c r="AH41" s="74"/>
      <c r="AI41" s="48"/>
      <c r="AJ41" s="74"/>
      <c r="AK41" s="48"/>
      <c r="AL41" s="74"/>
      <c r="AM41" s="48"/>
      <c r="AN41" s="74"/>
      <c r="AO41" s="48">
        <v>0</v>
      </c>
      <c r="AP41" s="74"/>
      <c r="AQ41" s="48">
        <v>0</v>
      </c>
      <c r="AR41" s="74">
        <v>0</v>
      </c>
      <c r="AS41" s="48">
        <v>0</v>
      </c>
      <c r="AT41" s="74"/>
      <c r="AU41" s="48"/>
      <c r="AV41" s="74">
        <v>680</v>
      </c>
      <c r="AW41" s="48">
        <v>0</v>
      </c>
      <c r="AX41" s="74"/>
      <c r="AY41" s="48"/>
      <c r="AZ41" s="74">
        <v>0</v>
      </c>
      <c r="BA41" s="59">
        <v>0</v>
      </c>
      <c r="BB41" s="48">
        <v>23.29</v>
      </c>
      <c r="BC41" s="48">
        <v>170</v>
      </c>
      <c r="BG41" s="74">
        <v>12.75</v>
      </c>
    </row>
    <row r="42" spans="1:59" x14ac:dyDescent="0.25">
      <c r="A42" s="45">
        <v>1</v>
      </c>
      <c r="B42" s="45" t="s">
        <v>331</v>
      </c>
      <c r="C42" s="75" t="s">
        <v>323</v>
      </c>
      <c r="D42" s="74">
        <v>200</v>
      </c>
      <c r="E42" s="48">
        <v>0</v>
      </c>
      <c r="F42" s="74">
        <v>75</v>
      </c>
      <c r="G42" s="48">
        <v>0</v>
      </c>
      <c r="H42" s="74"/>
      <c r="I42" s="48"/>
      <c r="J42" s="74"/>
      <c r="K42" s="48"/>
      <c r="L42" s="74"/>
      <c r="M42" s="48"/>
      <c r="N42" s="74"/>
      <c r="O42" s="48"/>
      <c r="P42" s="74"/>
      <c r="Q42" s="48"/>
      <c r="R42" s="74"/>
      <c r="S42" s="48"/>
      <c r="T42" s="74">
        <v>520.83000000000004</v>
      </c>
      <c r="U42" s="48"/>
      <c r="V42" s="74"/>
      <c r="W42" s="48"/>
      <c r="X42" s="74">
        <v>281.25</v>
      </c>
      <c r="Y42" s="48">
        <v>582.16</v>
      </c>
      <c r="Z42" s="74"/>
      <c r="AA42" s="48"/>
      <c r="AB42" s="74">
        <v>1800</v>
      </c>
      <c r="AC42" s="48">
        <v>0</v>
      </c>
      <c r="AD42" s="74"/>
      <c r="AE42" s="48"/>
      <c r="AF42" s="74"/>
      <c r="AG42" s="48"/>
      <c r="AH42" s="74"/>
      <c r="AI42" s="48"/>
      <c r="AJ42" s="74"/>
      <c r="AK42" s="48"/>
      <c r="AL42" s="74"/>
      <c r="AM42" s="48"/>
      <c r="AN42" s="74"/>
      <c r="AO42" s="48">
        <v>1117.99031111111</v>
      </c>
      <c r="AP42" s="74"/>
      <c r="AQ42" s="48">
        <v>200</v>
      </c>
      <c r="AR42" s="74">
        <v>0</v>
      </c>
      <c r="AS42" s="48">
        <v>0</v>
      </c>
      <c r="AT42" s="74"/>
      <c r="AU42" s="48"/>
      <c r="AV42" s="74">
        <v>800</v>
      </c>
      <c r="AW42" s="48">
        <v>0</v>
      </c>
      <c r="AX42" s="74"/>
      <c r="AY42" s="48"/>
      <c r="AZ42" s="74">
        <v>49.36</v>
      </c>
      <c r="BA42" s="59">
        <v>0</v>
      </c>
      <c r="BB42" s="48">
        <v>43.62</v>
      </c>
      <c r="BC42" s="48">
        <v>318.42</v>
      </c>
      <c r="BG42" s="74">
        <v>23.881799999999998</v>
      </c>
    </row>
    <row r="43" spans="1:59" x14ac:dyDescent="0.25">
      <c r="A43" s="45">
        <v>1</v>
      </c>
      <c r="B43" s="45" t="s">
        <v>290</v>
      </c>
      <c r="C43" s="75" t="s">
        <v>278</v>
      </c>
      <c r="D43" s="74">
        <v>200</v>
      </c>
      <c r="E43" s="48">
        <v>0</v>
      </c>
      <c r="F43" s="74">
        <v>75</v>
      </c>
      <c r="G43" s="48">
        <v>0</v>
      </c>
      <c r="H43" s="74"/>
      <c r="I43" s="48"/>
      <c r="J43" s="74"/>
      <c r="K43" s="48"/>
      <c r="L43" s="74"/>
      <c r="M43" s="48"/>
      <c r="N43" s="74"/>
      <c r="O43" s="48"/>
      <c r="P43" s="74"/>
      <c r="Q43" s="48"/>
      <c r="R43" s="74"/>
      <c r="S43" s="48"/>
      <c r="T43" s="74">
        <v>574.61</v>
      </c>
      <c r="U43" s="48"/>
      <c r="V43" s="74"/>
      <c r="W43" s="48"/>
      <c r="X43" s="74">
        <v>310.29000000000002</v>
      </c>
      <c r="Y43" s="48">
        <v>0</v>
      </c>
      <c r="Z43" s="74"/>
      <c r="AA43" s="48"/>
      <c r="AB43" s="74">
        <v>1180.24</v>
      </c>
      <c r="AC43" s="48">
        <v>0</v>
      </c>
      <c r="AD43" s="74"/>
      <c r="AE43" s="48"/>
      <c r="AF43" s="74"/>
      <c r="AG43" s="48"/>
      <c r="AH43" s="74"/>
      <c r="AI43" s="48"/>
      <c r="AJ43" s="74"/>
      <c r="AK43" s="48"/>
      <c r="AL43" s="74"/>
      <c r="AM43" s="48"/>
      <c r="AN43" s="74"/>
      <c r="AO43" s="48">
        <v>1220.15355</v>
      </c>
      <c r="AP43" s="74"/>
      <c r="AQ43" s="48">
        <v>500</v>
      </c>
      <c r="AR43" s="74">
        <v>441.38</v>
      </c>
      <c r="AS43" s="48">
        <v>0</v>
      </c>
      <c r="AT43" s="74"/>
      <c r="AU43" s="48"/>
      <c r="AV43" s="74">
        <v>1202.6099999999999</v>
      </c>
      <c r="AW43" s="48">
        <v>0</v>
      </c>
      <c r="AX43" s="74"/>
      <c r="AY43" s="48"/>
      <c r="AZ43" s="74">
        <v>0</v>
      </c>
      <c r="BA43" s="59">
        <v>0</v>
      </c>
      <c r="BB43" s="48">
        <v>0</v>
      </c>
      <c r="BC43" s="48">
        <v>206.51</v>
      </c>
      <c r="BG43" s="74">
        <v>15.488549999999998</v>
      </c>
    </row>
    <row r="44" spans="1:59" x14ac:dyDescent="0.25">
      <c r="A44" s="45">
        <v>4</v>
      </c>
      <c r="B44" s="45" t="s">
        <v>346</v>
      </c>
      <c r="C44" s="75" t="s">
        <v>345</v>
      </c>
      <c r="D44" s="74">
        <v>200</v>
      </c>
      <c r="E44" s="48">
        <v>0</v>
      </c>
      <c r="F44" s="74">
        <v>72</v>
      </c>
      <c r="G44" s="48">
        <v>48</v>
      </c>
      <c r="H44" s="74"/>
      <c r="I44" s="48"/>
      <c r="J44" s="74"/>
      <c r="K44" s="48"/>
      <c r="L44" s="74"/>
      <c r="M44" s="48"/>
      <c r="N44" s="74"/>
      <c r="O44" s="48"/>
      <c r="P44" s="74"/>
      <c r="Q44" s="48"/>
      <c r="R44" s="74"/>
      <c r="S44" s="48"/>
      <c r="T44" s="74">
        <v>375.74</v>
      </c>
      <c r="U44" s="48"/>
      <c r="V44" s="74"/>
      <c r="W44" s="48"/>
      <c r="X44" s="74">
        <v>195.26</v>
      </c>
      <c r="Y44" s="48">
        <v>0</v>
      </c>
      <c r="Z44" s="74"/>
      <c r="AA44" s="48"/>
      <c r="AB44" s="74">
        <v>1130</v>
      </c>
      <c r="AC44" s="48">
        <v>0</v>
      </c>
      <c r="AD44" s="74"/>
      <c r="AE44" s="48"/>
      <c r="AF44" s="74"/>
      <c r="AG44" s="48"/>
      <c r="AH44" s="74"/>
      <c r="AI44" s="48"/>
      <c r="AJ44" s="74"/>
      <c r="AK44" s="48"/>
      <c r="AL44" s="74"/>
      <c r="AM44" s="48"/>
      <c r="AN44" s="74"/>
      <c r="AO44" s="48">
        <v>176.63902777777801</v>
      </c>
      <c r="AP44" s="74"/>
      <c r="AQ44" s="48">
        <v>281.35000000000002</v>
      </c>
      <c r="AR44" s="74">
        <v>0</v>
      </c>
      <c r="AS44" s="48">
        <v>0</v>
      </c>
      <c r="AT44" s="74"/>
      <c r="AU44" s="48"/>
      <c r="AV44" s="74">
        <v>800</v>
      </c>
      <c r="AW44" s="48">
        <v>0</v>
      </c>
      <c r="AX44" s="74"/>
      <c r="AY44" s="48"/>
      <c r="AZ44" s="74">
        <v>0</v>
      </c>
      <c r="BA44" s="59">
        <v>0</v>
      </c>
      <c r="BB44" s="48">
        <v>23.3</v>
      </c>
      <c r="BC44" s="48">
        <v>170.1</v>
      </c>
      <c r="BG44" s="74">
        <v>12.7575</v>
      </c>
    </row>
    <row r="45" spans="1:59" x14ac:dyDescent="0.25">
      <c r="A45" s="45">
        <v>1</v>
      </c>
      <c r="B45" s="45" t="s">
        <v>332</v>
      </c>
      <c r="C45" s="75" t="s">
        <v>324</v>
      </c>
      <c r="D45" s="74">
        <v>200</v>
      </c>
      <c r="E45" s="48">
        <v>0</v>
      </c>
      <c r="F45" s="74">
        <v>74</v>
      </c>
      <c r="G45" s="48">
        <v>52</v>
      </c>
      <c r="H45" s="74"/>
      <c r="I45" s="48"/>
      <c r="J45" s="74"/>
      <c r="K45" s="48"/>
      <c r="L45" s="74"/>
      <c r="M45" s="48"/>
      <c r="N45" s="74"/>
      <c r="O45" s="48"/>
      <c r="P45" s="74"/>
      <c r="Q45" s="48"/>
      <c r="R45" s="74"/>
      <c r="S45" s="48"/>
      <c r="T45" s="74">
        <v>468.75</v>
      </c>
      <c r="U45" s="48"/>
      <c r="V45" s="74"/>
      <c r="W45" s="48"/>
      <c r="X45" s="74">
        <v>251.81</v>
      </c>
      <c r="Y45" s="48">
        <v>270</v>
      </c>
      <c r="Z45" s="74"/>
      <c r="AA45" s="48"/>
      <c r="AB45" s="74">
        <v>1800</v>
      </c>
      <c r="AC45" s="48">
        <v>0</v>
      </c>
      <c r="AD45" s="74"/>
      <c r="AE45" s="48"/>
      <c r="AF45" s="74"/>
      <c r="AG45" s="48"/>
      <c r="AH45" s="74"/>
      <c r="AI45" s="48"/>
      <c r="AJ45" s="74"/>
      <c r="AK45" s="48"/>
      <c r="AL45" s="74"/>
      <c r="AM45" s="48"/>
      <c r="AN45" s="74"/>
      <c r="AO45" s="48">
        <v>1115.31209027778</v>
      </c>
      <c r="AP45" s="74"/>
      <c r="AQ45" s="48">
        <v>0</v>
      </c>
      <c r="AR45" s="74">
        <v>0</v>
      </c>
      <c r="AS45" s="48">
        <v>0</v>
      </c>
      <c r="AT45" s="74"/>
      <c r="AU45" s="48"/>
      <c r="AV45" s="74">
        <v>720</v>
      </c>
      <c r="AW45" s="48">
        <v>0</v>
      </c>
      <c r="AX45" s="74"/>
      <c r="AY45" s="48"/>
      <c r="AZ45" s="74">
        <v>0</v>
      </c>
      <c r="BA45" s="59">
        <v>0</v>
      </c>
      <c r="BB45" s="48">
        <v>0</v>
      </c>
      <c r="BC45" s="48">
        <v>362.77</v>
      </c>
      <c r="BG45" s="74">
        <v>20.929199999999998</v>
      </c>
    </row>
    <row r="46" spans="1:59" x14ac:dyDescent="0.25">
      <c r="A46" s="45">
        <v>1</v>
      </c>
      <c r="B46" s="45" t="s">
        <v>291</v>
      </c>
      <c r="C46" s="75" t="s">
        <v>279</v>
      </c>
      <c r="D46" s="74">
        <v>200</v>
      </c>
      <c r="E46" s="48">
        <v>0</v>
      </c>
      <c r="F46" s="74">
        <v>0</v>
      </c>
      <c r="G46" s="48">
        <v>0</v>
      </c>
      <c r="H46" s="74"/>
      <c r="I46" s="48"/>
      <c r="J46" s="74"/>
      <c r="K46" s="48"/>
      <c r="L46" s="74"/>
      <c r="M46" s="48"/>
      <c r="N46" s="74"/>
      <c r="O46" s="48"/>
      <c r="P46" s="74"/>
      <c r="Q46" s="48"/>
      <c r="R46" s="74"/>
      <c r="S46" s="48"/>
      <c r="T46" s="74">
        <v>0</v>
      </c>
      <c r="U46" s="48"/>
      <c r="V46" s="74"/>
      <c r="W46" s="48"/>
      <c r="X46" s="74">
        <v>0</v>
      </c>
      <c r="Y46" s="48">
        <v>0</v>
      </c>
      <c r="Z46" s="74"/>
      <c r="AA46" s="48"/>
      <c r="AB46" s="74">
        <v>7500</v>
      </c>
      <c r="AC46" s="48">
        <v>113</v>
      </c>
      <c r="AD46" s="74"/>
      <c r="AE46" s="48"/>
      <c r="AF46" s="74"/>
      <c r="AG46" s="48"/>
      <c r="AH46" s="74"/>
      <c r="AI46" s="48"/>
      <c r="AJ46" s="74"/>
      <c r="AK46" s="48"/>
      <c r="AL46" s="74"/>
      <c r="AM46" s="48"/>
      <c r="AN46" s="74"/>
      <c r="AO46" s="48">
        <v>4498.0141666666696</v>
      </c>
      <c r="AP46" s="74"/>
      <c r="AQ46" s="48">
        <v>5000</v>
      </c>
      <c r="AR46" s="74">
        <v>2000</v>
      </c>
      <c r="AS46" s="48">
        <v>1180</v>
      </c>
      <c r="AT46" s="74"/>
      <c r="AU46" s="48"/>
      <c r="AV46" s="74">
        <v>5688.64</v>
      </c>
      <c r="AW46" s="48">
        <v>0</v>
      </c>
      <c r="AX46" s="74"/>
      <c r="AY46" s="48"/>
      <c r="AZ46" s="74">
        <v>121.81</v>
      </c>
      <c r="BA46" s="59">
        <v>1420.72</v>
      </c>
      <c r="BB46" s="48">
        <v>104.3</v>
      </c>
      <c r="BC46" s="48">
        <v>761.3</v>
      </c>
      <c r="BG46" s="74">
        <v>57.097499999999997</v>
      </c>
    </row>
    <row r="47" spans="1:59" x14ac:dyDescent="0.25">
      <c r="A47" s="45">
        <v>1</v>
      </c>
      <c r="B47" s="45" t="s">
        <v>402</v>
      </c>
      <c r="C47" s="75" t="s">
        <v>376</v>
      </c>
      <c r="D47" s="74">
        <v>200</v>
      </c>
      <c r="E47" s="48">
        <v>0</v>
      </c>
      <c r="F47" s="74">
        <v>75</v>
      </c>
      <c r="G47" s="48">
        <v>0</v>
      </c>
      <c r="H47" s="74"/>
      <c r="I47" s="48"/>
      <c r="J47" s="74"/>
      <c r="K47" s="48"/>
      <c r="L47" s="74"/>
      <c r="M47" s="48"/>
      <c r="N47" s="74"/>
      <c r="O47" s="48"/>
      <c r="P47" s="74"/>
      <c r="Q47" s="48"/>
      <c r="R47" s="74"/>
      <c r="S47" s="48"/>
      <c r="T47" s="74">
        <v>649.80999999999995</v>
      </c>
      <c r="U47" s="48"/>
      <c r="V47" s="74"/>
      <c r="W47" s="48"/>
      <c r="X47" s="74">
        <v>350.9</v>
      </c>
      <c r="Y47" s="48">
        <v>0</v>
      </c>
      <c r="Z47" s="74"/>
      <c r="AA47" s="48"/>
      <c r="AB47" s="74">
        <v>1130</v>
      </c>
      <c r="AC47" s="48">
        <v>0</v>
      </c>
      <c r="AD47" s="74"/>
      <c r="AE47" s="48"/>
      <c r="AF47" s="74"/>
      <c r="AG47" s="48"/>
      <c r="AH47" s="74"/>
      <c r="AI47" s="48"/>
      <c r="AJ47" s="74"/>
      <c r="AK47" s="48"/>
      <c r="AL47" s="74"/>
      <c r="AM47" s="48"/>
      <c r="AN47" s="74"/>
      <c r="AO47" s="48">
        <v>94.698222222222199</v>
      </c>
      <c r="AP47" s="74"/>
      <c r="AQ47" s="48">
        <v>500</v>
      </c>
      <c r="AR47" s="74">
        <v>500</v>
      </c>
      <c r="AS47" s="48">
        <v>269.3</v>
      </c>
      <c r="AT47" s="74"/>
      <c r="AU47" s="48"/>
      <c r="AV47" s="74">
        <v>1360</v>
      </c>
      <c r="AW47" s="48">
        <v>0</v>
      </c>
      <c r="AX47" s="74"/>
      <c r="AY47" s="48"/>
      <c r="AZ47" s="74">
        <v>0</v>
      </c>
      <c r="BA47" s="59">
        <v>0</v>
      </c>
      <c r="BB47" s="48">
        <v>29.19</v>
      </c>
      <c r="BC47" s="48">
        <v>213.07</v>
      </c>
      <c r="BG47" s="74">
        <v>15.980325000000001</v>
      </c>
    </row>
    <row r="48" spans="1:59" x14ac:dyDescent="0.25">
      <c r="A48" s="45">
        <v>1</v>
      </c>
      <c r="B48" s="45" t="s">
        <v>300</v>
      </c>
      <c r="C48" s="75" t="s">
        <v>301</v>
      </c>
      <c r="D48" s="74">
        <v>192</v>
      </c>
      <c r="E48" s="48">
        <v>0</v>
      </c>
      <c r="F48" s="74">
        <v>67</v>
      </c>
      <c r="G48" s="48">
        <v>4</v>
      </c>
      <c r="H48" s="74"/>
      <c r="I48" s="48"/>
      <c r="J48" s="74"/>
      <c r="K48" s="48"/>
      <c r="L48" s="74"/>
      <c r="M48" s="48"/>
      <c r="N48" s="74"/>
      <c r="O48" s="48"/>
      <c r="P48" s="74"/>
      <c r="Q48" s="48"/>
      <c r="R48" s="74"/>
      <c r="S48" s="48"/>
      <c r="T48" s="74">
        <v>517.17999999999995</v>
      </c>
      <c r="U48" s="48"/>
      <c r="V48" s="74"/>
      <c r="W48" s="48"/>
      <c r="X48" s="74">
        <v>272.22000000000003</v>
      </c>
      <c r="Y48" s="48">
        <v>0</v>
      </c>
      <c r="Z48" s="74"/>
      <c r="AA48" s="48"/>
      <c r="AB48" s="74">
        <v>1344</v>
      </c>
      <c r="AC48" s="48">
        <v>113</v>
      </c>
      <c r="AD48" s="74"/>
      <c r="AE48" s="48"/>
      <c r="AF48" s="74"/>
      <c r="AG48" s="48"/>
      <c r="AH48" s="74"/>
      <c r="AI48" s="48"/>
      <c r="AJ48" s="74"/>
      <c r="AK48" s="48"/>
      <c r="AL48" s="74"/>
      <c r="AM48" s="48"/>
      <c r="AN48" s="74"/>
      <c r="AO48" s="48">
        <v>1433.9085444444399</v>
      </c>
      <c r="AP48" s="74"/>
      <c r="AQ48" s="48">
        <v>1180</v>
      </c>
      <c r="AR48" s="74">
        <v>99.87</v>
      </c>
      <c r="AS48" s="48">
        <v>0</v>
      </c>
      <c r="AT48" s="74"/>
      <c r="AU48" s="48"/>
      <c r="AV48" s="74">
        <v>1480.01</v>
      </c>
      <c r="AW48" s="48">
        <v>0</v>
      </c>
      <c r="AX48" s="74"/>
      <c r="AY48" s="48"/>
      <c r="AZ48" s="74">
        <v>34.82</v>
      </c>
      <c r="BA48" s="59">
        <v>0</v>
      </c>
      <c r="BB48" s="48">
        <v>30.78</v>
      </c>
      <c r="BC48" s="48">
        <v>224.64</v>
      </c>
      <c r="BG48" s="74">
        <v>16.847999999999999</v>
      </c>
    </row>
    <row r="49" spans="1:59" x14ac:dyDescent="0.25">
      <c r="A49" s="45">
        <v>1</v>
      </c>
      <c r="B49" s="45" t="s">
        <v>333</v>
      </c>
      <c r="C49" s="75" t="s">
        <v>325</v>
      </c>
      <c r="D49" s="74">
        <v>200</v>
      </c>
      <c r="E49" s="48">
        <v>0</v>
      </c>
      <c r="F49" s="74">
        <v>75</v>
      </c>
      <c r="G49" s="48">
        <v>0</v>
      </c>
      <c r="H49" s="74"/>
      <c r="I49" s="48"/>
      <c r="J49" s="74"/>
      <c r="K49" s="48"/>
      <c r="L49" s="74"/>
      <c r="M49" s="48"/>
      <c r="N49" s="74"/>
      <c r="O49" s="48"/>
      <c r="P49" s="74"/>
      <c r="Q49" s="48"/>
      <c r="R49" s="74"/>
      <c r="S49" s="48"/>
      <c r="T49" s="74">
        <v>592.95000000000005</v>
      </c>
      <c r="U49" s="48"/>
      <c r="V49" s="74"/>
      <c r="W49" s="48"/>
      <c r="X49" s="74">
        <v>320.19</v>
      </c>
      <c r="Y49" s="48">
        <v>1404.8300000000002</v>
      </c>
      <c r="Z49" s="74"/>
      <c r="AA49" s="48"/>
      <c r="AB49" s="74">
        <v>1200</v>
      </c>
      <c r="AC49" s="48">
        <v>113</v>
      </c>
      <c r="AD49" s="74"/>
      <c r="AE49" s="48"/>
      <c r="AF49" s="74"/>
      <c r="AG49" s="48"/>
      <c r="AH49" s="74"/>
      <c r="AI49" s="48"/>
      <c r="AJ49" s="74"/>
      <c r="AK49" s="48"/>
      <c r="AL49" s="74"/>
      <c r="AM49" s="48"/>
      <c r="AN49" s="74"/>
      <c r="AO49" s="48">
        <v>1357.1131277777799</v>
      </c>
      <c r="AP49" s="74"/>
      <c r="AQ49" s="48">
        <v>500</v>
      </c>
      <c r="AR49" s="74">
        <v>376.36</v>
      </c>
      <c r="AS49" s="48">
        <v>0</v>
      </c>
      <c r="AT49" s="74"/>
      <c r="AU49" s="48"/>
      <c r="AV49" s="74">
        <v>1241</v>
      </c>
      <c r="AW49" s="48">
        <v>0</v>
      </c>
      <c r="AX49" s="74"/>
      <c r="AY49" s="48"/>
      <c r="AZ49" s="74">
        <v>0</v>
      </c>
      <c r="BA49" s="59">
        <v>0</v>
      </c>
      <c r="BB49" s="48">
        <v>0</v>
      </c>
      <c r="BC49" s="48">
        <v>472.03</v>
      </c>
      <c r="BG49" s="74">
        <v>27.232275000000001</v>
      </c>
    </row>
    <row r="50" spans="1:59" x14ac:dyDescent="0.25">
      <c r="A50" s="45">
        <v>1</v>
      </c>
      <c r="B50" s="45" t="s">
        <v>403</v>
      </c>
      <c r="C50" s="75" t="s">
        <v>377</v>
      </c>
      <c r="D50" s="74">
        <v>200</v>
      </c>
      <c r="E50" s="48">
        <v>0</v>
      </c>
      <c r="F50" s="74">
        <v>74</v>
      </c>
      <c r="G50" s="48">
        <v>57</v>
      </c>
      <c r="H50" s="74"/>
      <c r="I50" s="48"/>
      <c r="J50" s="74"/>
      <c r="K50" s="48"/>
      <c r="L50" s="74"/>
      <c r="M50" s="48"/>
      <c r="N50" s="74"/>
      <c r="O50" s="48"/>
      <c r="P50" s="74"/>
      <c r="Q50" s="48"/>
      <c r="R50" s="74"/>
      <c r="S50" s="48"/>
      <c r="T50" s="74">
        <v>365.61</v>
      </c>
      <c r="U50" s="48"/>
      <c r="V50" s="74"/>
      <c r="W50" s="48"/>
      <c r="X50" s="74">
        <v>197.04</v>
      </c>
      <c r="Y50" s="48">
        <v>0</v>
      </c>
      <c r="Z50" s="74"/>
      <c r="AA50" s="48"/>
      <c r="AB50" s="74">
        <v>1199.6500000000001</v>
      </c>
      <c r="AC50" s="48">
        <v>113</v>
      </c>
      <c r="AD50" s="74"/>
      <c r="AE50" s="48"/>
      <c r="AF50" s="74"/>
      <c r="AG50" s="48"/>
      <c r="AH50" s="74"/>
      <c r="AI50" s="48"/>
      <c r="AJ50" s="74"/>
      <c r="AK50" s="48"/>
      <c r="AL50" s="74"/>
      <c r="AM50" s="48"/>
      <c r="AN50" s="74"/>
      <c r="AO50" s="48">
        <v>0</v>
      </c>
      <c r="AP50" s="74"/>
      <c r="AQ50" s="48">
        <v>37.31</v>
      </c>
      <c r="AR50" s="74">
        <v>0</v>
      </c>
      <c r="AS50" s="48">
        <v>0</v>
      </c>
      <c r="AT50" s="74"/>
      <c r="AU50" s="48"/>
      <c r="AV50" s="74">
        <v>680</v>
      </c>
      <c r="AW50" s="48">
        <v>300</v>
      </c>
      <c r="AX50" s="74"/>
      <c r="AY50" s="48"/>
      <c r="AZ50" s="74">
        <v>0</v>
      </c>
      <c r="BA50" s="59">
        <v>0</v>
      </c>
      <c r="BB50" s="48">
        <v>25.69</v>
      </c>
      <c r="BC50" s="48">
        <v>187.53</v>
      </c>
      <c r="BG50" s="74">
        <v>14.064749999999998</v>
      </c>
    </row>
    <row r="51" spans="1:59" x14ac:dyDescent="0.25">
      <c r="A51" s="45">
        <v>1</v>
      </c>
      <c r="B51" s="45" t="s">
        <v>404</v>
      </c>
      <c r="C51" s="75" t="s">
        <v>378</v>
      </c>
      <c r="D51" s="74">
        <v>168</v>
      </c>
      <c r="E51" s="48">
        <v>0</v>
      </c>
      <c r="F51" s="74">
        <v>62</v>
      </c>
      <c r="G51" s="48">
        <v>52</v>
      </c>
      <c r="H51" s="74"/>
      <c r="I51" s="48"/>
      <c r="J51" s="74"/>
      <c r="K51" s="48"/>
      <c r="L51" s="74"/>
      <c r="M51" s="48"/>
      <c r="N51" s="74"/>
      <c r="O51" s="48"/>
      <c r="P51" s="74"/>
      <c r="Q51" s="48"/>
      <c r="R51" s="74"/>
      <c r="S51" s="48"/>
      <c r="T51" s="74">
        <v>272.92</v>
      </c>
      <c r="U51" s="48"/>
      <c r="V51" s="74"/>
      <c r="W51" s="48"/>
      <c r="X51" s="74">
        <v>146.47</v>
      </c>
      <c r="Y51" s="48">
        <v>0</v>
      </c>
      <c r="Z51" s="74"/>
      <c r="AA51" s="48"/>
      <c r="AB51" s="74">
        <v>949.2</v>
      </c>
      <c r="AC51" s="48">
        <v>0</v>
      </c>
      <c r="AD51" s="74"/>
      <c r="AE51" s="48"/>
      <c r="AF51" s="74"/>
      <c r="AG51" s="48"/>
      <c r="AH51" s="74"/>
      <c r="AI51" s="48"/>
      <c r="AJ51" s="74"/>
      <c r="AK51" s="48"/>
      <c r="AL51" s="74"/>
      <c r="AM51" s="48"/>
      <c r="AN51" s="74"/>
      <c r="AO51" s="48">
        <v>0</v>
      </c>
      <c r="AP51" s="74"/>
      <c r="AQ51" s="48">
        <v>58.51</v>
      </c>
      <c r="AR51" s="74">
        <v>0</v>
      </c>
      <c r="AS51" s="48">
        <v>0</v>
      </c>
      <c r="AT51" s="74"/>
      <c r="AU51" s="48"/>
      <c r="AV51" s="74">
        <v>640.52</v>
      </c>
      <c r="AW51" s="48">
        <v>0</v>
      </c>
      <c r="AX51" s="74"/>
      <c r="AY51" s="48"/>
      <c r="AZ51" s="74">
        <v>0</v>
      </c>
      <c r="BA51" s="59">
        <v>0</v>
      </c>
      <c r="BB51" s="48">
        <v>18.75</v>
      </c>
      <c r="BC51" s="48">
        <v>136.86000000000001</v>
      </c>
      <c r="BG51" s="74">
        <v>10.264424999999999</v>
      </c>
    </row>
    <row r="52" spans="1:59" x14ac:dyDescent="0.25">
      <c r="A52" s="45">
        <v>1</v>
      </c>
      <c r="B52" s="45" t="s">
        <v>405</v>
      </c>
      <c r="C52" s="75" t="s">
        <v>379</v>
      </c>
      <c r="D52" s="74">
        <v>96</v>
      </c>
      <c r="E52" s="48">
        <v>0</v>
      </c>
      <c r="F52" s="74">
        <v>36</v>
      </c>
      <c r="G52" s="48">
        <v>0</v>
      </c>
      <c r="H52" s="74"/>
      <c r="I52" s="48"/>
      <c r="J52" s="74"/>
      <c r="K52" s="48"/>
      <c r="L52" s="74"/>
      <c r="M52" s="48"/>
      <c r="N52" s="74"/>
      <c r="O52" s="48"/>
      <c r="P52" s="74"/>
      <c r="Q52" s="48"/>
      <c r="R52" s="74"/>
      <c r="S52" s="48"/>
      <c r="T52" s="74">
        <v>275.20999999999998</v>
      </c>
      <c r="U52" s="48"/>
      <c r="V52" s="74"/>
      <c r="W52" s="48"/>
      <c r="X52" s="74">
        <v>148.61000000000001</v>
      </c>
      <c r="Y52" s="48">
        <v>0</v>
      </c>
      <c r="Z52" s="74"/>
      <c r="AA52" s="48"/>
      <c r="AB52" s="74">
        <v>542.4</v>
      </c>
      <c r="AC52" s="48">
        <v>0</v>
      </c>
      <c r="AD52" s="74"/>
      <c r="AE52" s="48"/>
      <c r="AF52" s="74"/>
      <c r="AG52" s="48"/>
      <c r="AH52" s="74"/>
      <c r="AI52" s="48"/>
      <c r="AJ52" s="74"/>
      <c r="AK52" s="48"/>
      <c r="AL52" s="74"/>
      <c r="AM52" s="48"/>
      <c r="AN52" s="74"/>
      <c r="AO52" s="48">
        <v>0</v>
      </c>
      <c r="AP52" s="74"/>
      <c r="AQ52" s="48">
        <v>240</v>
      </c>
      <c r="AR52" s="74">
        <v>233.77</v>
      </c>
      <c r="AS52" s="48">
        <v>0</v>
      </c>
      <c r="AT52" s="74"/>
      <c r="AU52" s="48"/>
      <c r="AV52" s="74">
        <v>0</v>
      </c>
      <c r="AW52" s="48">
        <v>700</v>
      </c>
      <c r="AX52" s="74"/>
      <c r="AY52" s="48"/>
      <c r="AZ52" s="74">
        <v>0</v>
      </c>
      <c r="BA52" s="59">
        <v>0</v>
      </c>
      <c r="BB52" s="48">
        <v>13.24</v>
      </c>
      <c r="BC52" s="48">
        <v>96.62</v>
      </c>
      <c r="BG52" s="74">
        <v>7.2466499999999998</v>
      </c>
    </row>
    <row r="53" spans="1:59" x14ac:dyDescent="0.25">
      <c r="A53" s="45">
        <v>1</v>
      </c>
      <c r="B53" s="45" t="s">
        <v>298</v>
      </c>
      <c r="C53" s="75" t="s">
        <v>296</v>
      </c>
      <c r="D53" s="74">
        <v>200</v>
      </c>
      <c r="E53" s="48">
        <v>0</v>
      </c>
      <c r="F53" s="74">
        <v>0</v>
      </c>
      <c r="G53" s="48">
        <v>0</v>
      </c>
      <c r="H53" s="74"/>
      <c r="I53" s="48"/>
      <c r="J53" s="74"/>
      <c r="K53" s="48"/>
      <c r="L53" s="74"/>
      <c r="M53" s="48"/>
      <c r="N53" s="74"/>
      <c r="O53" s="48"/>
      <c r="P53" s="74"/>
      <c r="Q53" s="48"/>
      <c r="R53" s="74"/>
      <c r="S53" s="48"/>
      <c r="T53" s="74">
        <v>0</v>
      </c>
      <c r="U53" s="48"/>
      <c r="V53" s="74"/>
      <c r="W53" s="48"/>
      <c r="X53" s="74">
        <v>0</v>
      </c>
      <c r="Y53" s="48">
        <v>0</v>
      </c>
      <c r="Z53" s="74"/>
      <c r="AA53" s="48"/>
      <c r="AB53" s="74">
        <v>1900</v>
      </c>
      <c r="AC53" s="48">
        <v>0</v>
      </c>
      <c r="AD53" s="74"/>
      <c r="AE53" s="48"/>
      <c r="AF53" s="74"/>
      <c r="AG53" s="48"/>
      <c r="AH53" s="74"/>
      <c r="AI53" s="48"/>
      <c r="AJ53" s="74"/>
      <c r="AK53" s="48"/>
      <c r="AL53" s="74"/>
      <c r="AM53" s="48"/>
      <c r="AN53" s="74"/>
      <c r="AO53" s="48">
        <v>1120.1863930555601</v>
      </c>
      <c r="AP53" s="74"/>
      <c r="AQ53" s="48">
        <v>400</v>
      </c>
      <c r="AR53" s="74">
        <v>500</v>
      </c>
      <c r="AS53" s="48">
        <v>400</v>
      </c>
      <c r="AT53" s="74"/>
      <c r="AU53" s="48"/>
      <c r="AV53" s="74">
        <v>1280</v>
      </c>
      <c r="AW53" s="48">
        <v>0</v>
      </c>
      <c r="AX53" s="74"/>
      <c r="AY53" s="48"/>
      <c r="AZ53" s="74">
        <v>0</v>
      </c>
      <c r="BA53" s="59">
        <v>0</v>
      </c>
      <c r="BB53" s="48">
        <v>26.03</v>
      </c>
      <c r="BC53" s="48">
        <v>190</v>
      </c>
      <c r="BG53" s="74">
        <v>14.25</v>
      </c>
    </row>
    <row r="54" spans="1:59" x14ac:dyDescent="0.25">
      <c r="A54" s="45">
        <v>1</v>
      </c>
      <c r="B54" s="45" t="s">
        <v>406</v>
      </c>
      <c r="C54" s="75" t="s">
        <v>380</v>
      </c>
      <c r="D54" s="74">
        <v>192</v>
      </c>
      <c r="E54" s="48">
        <v>0</v>
      </c>
      <c r="F54" s="74">
        <v>69</v>
      </c>
      <c r="G54" s="48">
        <v>42</v>
      </c>
      <c r="H54" s="74"/>
      <c r="I54" s="48"/>
      <c r="J54" s="74"/>
      <c r="K54" s="48"/>
      <c r="L54" s="74"/>
      <c r="M54" s="48"/>
      <c r="N54" s="74"/>
      <c r="O54" s="48"/>
      <c r="P54" s="74"/>
      <c r="Q54" s="48"/>
      <c r="R54" s="74"/>
      <c r="S54" s="48"/>
      <c r="T54" s="74">
        <v>321.52</v>
      </c>
      <c r="U54" s="48"/>
      <c r="V54" s="74"/>
      <c r="W54" s="48"/>
      <c r="X54" s="74">
        <v>170.76</v>
      </c>
      <c r="Y54" s="48">
        <v>0</v>
      </c>
      <c r="Z54" s="74"/>
      <c r="AA54" s="48"/>
      <c r="AB54" s="74">
        <v>1084.8</v>
      </c>
      <c r="AC54" s="48">
        <v>0</v>
      </c>
      <c r="AD54" s="74"/>
      <c r="AE54" s="48"/>
      <c r="AF54" s="74"/>
      <c r="AG54" s="48"/>
      <c r="AH54" s="74"/>
      <c r="AI54" s="48"/>
      <c r="AJ54" s="74"/>
      <c r="AK54" s="48"/>
      <c r="AL54" s="74"/>
      <c r="AM54" s="48"/>
      <c r="AN54" s="74"/>
      <c r="AO54" s="48">
        <v>0</v>
      </c>
      <c r="AP54" s="74"/>
      <c r="AQ54" s="48">
        <v>134.6</v>
      </c>
      <c r="AR54" s="74">
        <v>0</v>
      </c>
      <c r="AS54" s="48">
        <v>0</v>
      </c>
      <c r="AT54" s="74"/>
      <c r="AU54" s="48"/>
      <c r="AV54" s="74">
        <v>720</v>
      </c>
      <c r="AW54" s="48">
        <v>0</v>
      </c>
      <c r="AX54" s="74"/>
      <c r="AY54" s="48"/>
      <c r="AZ54" s="74">
        <v>0</v>
      </c>
      <c r="BA54" s="59">
        <v>0</v>
      </c>
      <c r="BB54" s="48">
        <v>21.61</v>
      </c>
      <c r="BC54" s="48">
        <v>157.71</v>
      </c>
      <c r="BG54" s="74">
        <v>11.828099999999999</v>
      </c>
    </row>
    <row r="55" spans="1:59" x14ac:dyDescent="0.25">
      <c r="A55" s="45">
        <v>1</v>
      </c>
      <c r="B55" s="45" t="s">
        <v>407</v>
      </c>
      <c r="C55" s="75" t="s">
        <v>381</v>
      </c>
      <c r="D55" s="74">
        <v>200</v>
      </c>
      <c r="E55" s="48">
        <v>0</v>
      </c>
      <c r="F55" s="74">
        <v>0</v>
      </c>
      <c r="G55" s="48">
        <v>0</v>
      </c>
      <c r="H55" s="74"/>
      <c r="I55" s="48"/>
      <c r="J55" s="74"/>
      <c r="K55" s="48"/>
      <c r="L55" s="74"/>
      <c r="M55" s="48"/>
      <c r="N55" s="74"/>
      <c r="O55" s="48"/>
      <c r="P55" s="74"/>
      <c r="Q55" s="48"/>
      <c r="R55" s="74"/>
      <c r="S55" s="48"/>
      <c r="T55" s="74">
        <v>0</v>
      </c>
      <c r="U55" s="48"/>
      <c r="V55" s="74"/>
      <c r="W55" s="48"/>
      <c r="X55" s="74">
        <v>0</v>
      </c>
      <c r="Y55" s="48">
        <v>0</v>
      </c>
      <c r="Z55" s="74"/>
      <c r="AA55" s="48"/>
      <c r="AB55" s="74">
        <v>2000</v>
      </c>
      <c r="AC55" s="48">
        <v>113</v>
      </c>
      <c r="AD55" s="74"/>
      <c r="AE55" s="48"/>
      <c r="AF55" s="74"/>
      <c r="AG55" s="48"/>
      <c r="AH55" s="74"/>
      <c r="AI55" s="48"/>
      <c r="AJ55" s="74"/>
      <c r="AK55" s="48"/>
      <c r="AL55" s="74"/>
      <c r="AM55" s="48"/>
      <c r="AN55" s="74"/>
      <c r="AO55" s="48">
        <v>604.55277777777803</v>
      </c>
      <c r="AP55" s="74"/>
      <c r="AQ55" s="48">
        <v>700</v>
      </c>
      <c r="AR55" s="74">
        <v>0</v>
      </c>
      <c r="AS55" s="48">
        <v>0</v>
      </c>
      <c r="AT55" s="74"/>
      <c r="AU55" s="48"/>
      <c r="AV55" s="74">
        <v>1125.2</v>
      </c>
      <c r="AW55" s="48">
        <v>0</v>
      </c>
      <c r="AX55" s="74"/>
      <c r="AY55" s="48"/>
      <c r="AZ55" s="74">
        <v>32.75</v>
      </c>
      <c r="BA55" s="59">
        <v>0</v>
      </c>
      <c r="BB55" s="48">
        <v>28.95</v>
      </c>
      <c r="BC55" s="48">
        <v>211.3</v>
      </c>
      <c r="BG55" s="74">
        <v>15.8475</v>
      </c>
    </row>
    <row r="56" spans="1:59" x14ac:dyDescent="0.25">
      <c r="A56" s="45">
        <v>1</v>
      </c>
      <c r="B56" s="45" t="s">
        <v>292</v>
      </c>
      <c r="C56" s="75" t="s">
        <v>280</v>
      </c>
      <c r="D56" s="74">
        <v>200</v>
      </c>
      <c r="E56" s="48">
        <v>0</v>
      </c>
      <c r="F56" s="74">
        <v>0</v>
      </c>
      <c r="G56" s="48">
        <v>0</v>
      </c>
      <c r="H56" s="74"/>
      <c r="I56" s="48"/>
      <c r="J56" s="74"/>
      <c r="K56" s="48"/>
      <c r="L56" s="74"/>
      <c r="M56" s="48"/>
      <c r="N56" s="74"/>
      <c r="O56" s="48"/>
      <c r="P56" s="74"/>
      <c r="Q56" s="48"/>
      <c r="R56" s="74"/>
      <c r="S56" s="48"/>
      <c r="T56" s="74">
        <v>0</v>
      </c>
      <c r="U56" s="48"/>
      <c r="V56" s="74"/>
      <c r="W56" s="48"/>
      <c r="X56" s="74">
        <v>0</v>
      </c>
      <c r="Y56" s="48">
        <v>0</v>
      </c>
      <c r="Z56" s="74"/>
      <c r="AA56" s="48"/>
      <c r="AB56" s="74">
        <v>7000</v>
      </c>
      <c r="AC56" s="48">
        <v>113</v>
      </c>
      <c r="AD56" s="74"/>
      <c r="AE56" s="48"/>
      <c r="AF56" s="74"/>
      <c r="AG56" s="48"/>
      <c r="AH56" s="74"/>
      <c r="AI56" s="48"/>
      <c r="AJ56" s="74"/>
      <c r="AK56" s="48"/>
      <c r="AL56" s="74"/>
      <c r="AM56" s="48"/>
      <c r="AN56" s="74"/>
      <c r="AO56" s="48">
        <v>4202.5974999999999</v>
      </c>
      <c r="AP56" s="74"/>
      <c r="AQ56" s="48">
        <v>8000</v>
      </c>
      <c r="AR56" s="74">
        <v>2000</v>
      </c>
      <c r="AS56" s="48">
        <v>1387</v>
      </c>
      <c r="AT56" s="74"/>
      <c r="AU56" s="48"/>
      <c r="AV56" s="74">
        <v>7400</v>
      </c>
      <c r="AW56" s="48">
        <v>0</v>
      </c>
      <c r="AX56" s="74"/>
      <c r="AY56" s="48"/>
      <c r="AZ56" s="74">
        <v>110.25</v>
      </c>
      <c r="BA56" s="59">
        <v>1237.46</v>
      </c>
      <c r="BB56" s="48">
        <v>97.45</v>
      </c>
      <c r="BC56" s="48">
        <v>711.3</v>
      </c>
      <c r="BG56" s="74">
        <v>53.347499999999997</v>
      </c>
    </row>
    <row r="57" spans="1:59" x14ac:dyDescent="0.25">
      <c r="A57" s="45">
        <v>1</v>
      </c>
      <c r="B57" s="45" t="s">
        <v>293</v>
      </c>
      <c r="C57" s="75" t="s">
        <v>281</v>
      </c>
      <c r="D57" s="74">
        <v>200</v>
      </c>
      <c r="E57" s="48">
        <v>0</v>
      </c>
      <c r="F57" s="74">
        <v>0</v>
      </c>
      <c r="G57" s="48">
        <v>0</v>
      </c>
      <c r="H57" s="74"/>
      <c r="I57" s="48"/>
      <c r="J57" s="74"/>
      <c r="K57" s="48"/>
      <c r="L57" s="74"/>
      <c r="M57" s="48"/>
      <c r="N57" s="74"/>
      <c r="O57" s="48"/>
      <c r="P57" s="74"/>
      <c r="Q57" s="48"/>
      <c r="R57" s="74"/>
      <c r="S57" s="48"/>
      <c r="T57" s="74">
        <v>0</v>
      </c>
      <c r="U57" s="48"/>
      <c r="V57" s="74"/>
      <c r="W57" s="48"/>
      <c r="X57" s="74">
        <v>0</v>
      </c>
      <c r="Y57" s="48">
        <v>0</v>
      </c>
      <c r="Z57" s="74"/>
      <c r="AA57" s="48"/>
      <c r="AB57" s="74">
        <v>1130</v>
      </c>
      <c r="AC57" s="48">
        <v>0</v>
      </c>
      <c r="AD57" s="74"/>
      <c r="AE57" s="48"/>
      <c r="AF57" s="74"/>
      <c r="AG57" s="48"/>
      <c r="AH57" s="74"/>
      <c r="AI57" s="48"/>
      <c r="AJ57" s="74"/>
      <c r="AK57" s="48"/>
      <c r="AL57" s="74"/>
      <c r="AM57" s="48"/>
      <c r="AN57" s="74"/>
      <c r="AO57" s="48">
        <v>667.64166666666699</v>
      </c>
      <c r="AP57" s="74"/>
      <c r="AQ57" s="48">
        <v>606.33000000000004</v>
      </c>
      <c r="AR57" s="74">
        <v>0</v>
      </c>
      <c r="AS57" s="48">
        <v>0</v>
      </c>
      <c r="AT57" s="74"/>
      <c r="AU57" s="48"/>
      <c r="AV57" s="74">
        <v>694.53</v>
      </c>
      <c r="AW57" s="48">
        <v>0</v>
      </c>
      <c r="AX57" s="74"/>
      <c r="AY57" s="48"/>
      <c r="AZ57" s="74">
        <v>18.079999999999998</v>
      </c>
      <c r="BA57" s="59">
        <v>0</v>
      </c>
      <c r="BB57" s="48">
        <v>15.48</v>
      </c>
      <c r="BC57" s="48">
        <v>113</v>
      </c>
      <c r="BG57" s="74">
        <v>8.4749999999999996</v>
      </c>
    </row>
    <row r="58" spans="1:59" x14ac:dyDescent="0.25">
      <c r="A58" s="45">
        <v>1</v>
      </c>
      <c r="B58" s="45" t="s">
        <v>311</v>
      </c>
      <c r="C58" s="75" t="s">
        <v>315</v>
      </c>
      <c r="D58" s="74">
        <v>200</v>
      </c>
      <c r="E58" s="48">
        <v>0</v>
      </c>
      <c r="F58" s="74">
        <v>72</v>
      </c>
      <c r="G58" s="48">
        <v>39</v>
      </c>
      <c r="H58" s="74"/>
      <c r="I58" s="48"/>
      <c r="J58" s="74"/>
      <c r="K58" s="48"/>
      <c r="L58" s="74"/>
      <c r="M58" s="48"/>
      <c r="N58" s="74"/>
      <c r="O58" s="48"/>
      <c r="P58" s="74"/>
      <c r="Q58" s="48"/>
      <c r="R58" s="74"/>
      <c r="S58" s="48"/>
      <c r="T58" s="74">
        <v>507.41</v>
      </c>
      <c r="U58" s="48"/>
      <c r="V58" s="74"/>
      <c r="W58" s="48"/>
      <c r="X58" s="74">
        <v>270.33999999999997</v>
      </c>
      <c r="Y58" s="48">
        <v>822.03</v>
      </c>
      <c r="Z58" s="74"/>
      <c r="AA58" s="48"/>
      <c r="AB58" s="74">
        <v>1600</v>
      </c>
      <c r="AC58" s="48">
        <v>113</v>
      </c>
      <c r="AD58" s="74"/>
      <c r="AE58" s="48"/>
      <c r="AF58" s="74"/>
      <c r="AG58" s="48"/>
      <c r="AH58" s="74"/>
      <c r="AI58" s="48"/>
      <c r="AJ58" s="74"/>
      <c r="AK58" s="48"/>
      <c r="AL58" s="74"/>
      <c r="AM58" s="48"/>
      <c r="AN58" s="74"/>
      <c r="AO58" s="48">
        <v>1090.79322916667</v>
      </c>
      <c r="AP58" s="74"/>
      <c r="AQ58" s="48">
        <v>289.5</v>
      </c>
      <c r="AR58" s="74">
        <v>0</v>
      </c>
      <c r="AS58" s="48">
        <v>0</v>
      </c>
      <c r="AT58" s="74"/>
      <c r="AU58" s="48"/>
      <c r="AV58" s="74">
        <v>801</v>
      </c>
      <c r="AW58" s="48">
        <v>0</v>
      </c>
      <c r="AX58" s="74"/>
      <c r="AY58" s="48"/>
      <c r="AZ58" s="74">
        <v>0</v>
      </c>
      <c r="BA58" s="59">
        <v>0</v>
      </c>
      <c r="BB58" s="48">
        <v>45.39</v>
      </c>
      <c r="BC58" s="48">
        <v>331.28</v>
      </c>
      <c r="BG58" s="74">
        <v>24.845850000000002</v>
      </c>
    </row>
    <row r="59" spans="1:59" x14ac:dyDescent="0.25">
      <c r="A59" s="45">
        <v>1</v>
      </c>
      <c r="B59" s="45" t="s">
        <v>294</v>
      </c>
      <c r="C59" s="75" t="s">
        <v>282</v>
      </c>
      <c r="D59" s="74">
        <v>200</v>
      </c>
      <c r="E59" s="48">
        <v>0</v>
      </c>
      <c r="F59" s="74">
        <v>74</v>
      </c>
      <c r="G59" s="48">
        <v>53</v>
      </c>
      <c r="H59" s="74"/>
      <c r="I59" s="48"/>
      <c r="J59" s="74"/>
      <c r="K59" s="48"/>
      <c r="L59" s="74"/>
      <c r="M59" s="48"/>
      <c r="N59" s="74"/>
      <c r="O59" s="48"/>
      <c r="P59" s="74"/>
      <c r="Q59" s="48"/>
      <c r="R59" s="74"/>
      <c r="S59" s="48"/>
      <c r="T59" s="74">
        <v>420.47</v>
      </c>
      <c r="U59" s="48"/>
      <c r="V59" s="74"/>
      <c r="W59" s="48"/>
      <c r="X59" s="74">
        <v>226.05</v>
      </c>
      <c r="Y59" s="48">
        <v>0</v>
      </c>
      <c r="Z59" s="74"/>
      <c r="AA59" s="48"/>
      <c r="AB59" s="74">
        <v>1200</v>
      </c>
      <c r="AC59" s="48">
        <v>0</v>
      </c>
      <c r="AD59" s="74"/>
      <c r="AE59" s="48"/>
      <c r="AF59" s="74"/>
      <c r="AG59" s="48"/>
      <c r="AH59" s="74"/>
      <c r="AI59" s="48"/>
      <c r="AJ59" s="74"/>
      <c r="AK59" s="48"/>
      <c r="AL59" s="74"/>
      <c r="AM59" s="48"/>
      <c r="AN59" s="74"/>
      <c r="AO59" s="48">
        <v>1073.82257083333</v>
      </c>
      <c r="AP59" s="74"/>
      <c r="AQ59" s="48">
        <v>352.48</v>
      </c>
      <c r="AR59" s="74">
        <v>0</v>
      </c>
      <c r="AS59" s="48">
        <v>0</v>
      </c>
      <c r="AT59" s="74"/>
      <c r="AU59" s="48"/>
      <c r="AV59" s="74">
        <v>880</v>
      </c>
      <c r="AW59" s="48">
        <v>492.34</v>
      </c>
      <c r="AX59" s="74"/>
      <c r="AY59" s="48"/>
      <c r="AZ59" s="74">
        <v>0</v>
      </c>
      <c r="BA59" s="59">
        <v>0</v>
      </c>
      <c r="BB59" s="48">
        <v>25.3</v>
      </c>
      <c r="BC59" s="48">
        <v>184.65</v>
      </c>
      <c r="BG59" s="74">
        <v>13.848899999999999</v>
      </c>
    </row>
    <row r="60" spans="1:59" x14ac:dyDescent="0.25">
      <c r="A60" s="45">
        <v>1</v>
      </c>
      <c r="B60" s="45" t="s">
        <v>341</v>
      </c>
      <c r="C60" s="75" t="s">
        <v>344</v>
      </c>
      <c r="D60" s="74">
        <v>196</v>
      </c>
      <c r="E60" s="48">
        <v>21</v>
      </c>
      <c r="F60" s="74">
        <v>67</v>
      </c>
      <c r="G60" s="48">
        <v>36</v>
      </c>
      <c r="H60" s="74"/>
      <c r="I60" s="48"/>
      <c r="J60" s="74"/>
      <c r="K60" s="48"/>
      <c r="L60" s="74"/>
      <c r="M60" s="48"/>
      <c r="N60" s="74"/>
      <c r="O60" s="48"/>
      <c r="P60" s="74"/>
      <c r="Q60" s="48"/>
      <c r="R60" s="74"/>
      <c r="S60" s="48"/>
      <c r="T60" s="74">
        <v>316.36</v>
      </c>
      <c r="U60" s="48"/>
      <c r="V60" s="74"/>
      <c r="W60" s="48"/>
      <c r="X60" s="74">
        <v>160.65</v>
      </c>
      <c r="Y60" s="48">
        <v>84.68</v>
      </c>
      <c r="Z60" s="74"/>
      <c r="AA60" s="48"/>
      <c r="AB60" s="74">
        <v>1109.3800000000001</v>
      </c>
      <c r="AC60" s="48">
        <v>0</v>
      </c>
      <c r="AD60" s="74"/>
      <c r="AE60" s="48"/>
      <c r="AF60" s="74"/>
      <c r="AG60" s="48"/>
      <c r="AH60" s="74"/>
      <c r="AI60" s="48"/>
      <c r="AJ60" s="74"/>
      <c r="AK60" s="48"/>
      <c r="AL60" s="74"/>
      <c r="AM60" s="48"/>
      <c r="AN60" s="74"/>
      <c r="AO60" s="48">
        <v>978.75887361111097</v>
      </c>
      <c r="AP60" s="74"/>
      <c r="AQ60" s="48">
        <v>137.65</v>
      </c>
      <c r="AR60" s="74">
        <v>0</v>
      </c>
      <c r="AS60" s="48">
        <v>0</v>
      </c>
      <c r="AT60" s="74"/>
      <c r="AU60" s="48"/>
      <c r="AV60" s="74">
        <v>720</v>
      </c>
      <c r="AW60" s="48">
        <v>0</v>
      </c>
      <c r="AX60" s="74"/>
      <c r="AY60" s="48"/>
      <c r="AZ60" s="74">
        <v>0</v>
      </c>
      <c r="BA60" s="59">
        <v>0</v>
      </c>
      <c r="BB60" s="48">
        <v>22.89</v>
      </c>
      <c r="BC60" s="48">
        <v>167.11</v>
      </c>
      <c r="BG60" s="74">
        <v>12.533024999999999</v>
      </c>
    </row>
    <row r="61" spans="1:59" x14ac:dyDescent="0.25">
      <c r="A61" s="45">
        <v>1</v>
      </c>
      <c r="B61" s="45" t="s">
        <v>295</v>
      </c>
      <c r="C61" s="75" t="s">
        <v>283</v>
      </c>
      <c r="D61" s="74">
        <v>200</v>
      </c>
      <c r="E61" s="48">
        <v>0</v>
      </c>
      <c r="F61" s="74">
        <v>75</v>
      </c>
      <c r="G61" s="48">
        <v>0</v>
      </c>
      <c r="H61" s="74"/>
      <c r="I61" s="48"/>
      <c r="J61" s="74"/>
      <c r="K61" s="48"/>
      <c r="L61" s="74"/>
      <c r="M61" s="48"/>
      <c r="N61" s="74"/>
      <c r="O61" s="48"/>
      <c r="P61" s="74"/>
      <c r="Q61" s="48"/>
      <c r="R61" s="74"/>
      <c r="S61" s="48"/>
      <c r="T61" s="74">
        <v>477.8</v>
      </c>
      <c r="U61" s="48"/>
      <c r="V61" s="74"/>
      <c r="W61" s="48"/>
      <c r="X61" s="74">
        <v>258.01</v>
      </c>
      <c r="Y61" s="48">
        <v>0</v>
      </c>
      <c r="Z61" s="74"/>
      <c r="AA61" s="48"/>
      <c r="AB61" s="74">
        <v>1261.69</v>
      </c>
      <c r="AC61" s="48">
        <v>113</v>
      </c>
      <c r="AD61" s="74"/>
      <c r="AE61" s="48"/>
      <c r="AF61" s="74"/>
      <c r="AG61" s="48"/>
      <c r="AH61" s="74"/>
      <c r="AI61" s="48"/>
      <c r="AJ61" s="74"/>
      <c r="AK61" s="48"/>
      <c r="AL61" s="74"/>
      <c r="AM61" s="48"/>
      <c r="AN61" s="74"/>
      <c r="AO61" s="48">
        <v>1246.1856027777801</v>
      </c>
      <c r="AP61" s="74"/>
      <c r="AQ61" s="48">
        <v>389.5</v>
      </c>
      <c r="AR61" s="74">
        <v>0</v>
      </c>
      <c r="AS61" s="48">
        <v>0</v>
      </c>
      <c r="AT61" s="74"/>
      <c r="AU61" s="48"/>
      <c r="AV61" s="74">
        <v>1000</v>
      </c>
      <c r="AW61" s="48">
        <v>0</v>
      </c>
      <c r="AX61" s="74"/>
      <c r="AY61" s="48"/>
      <c r="AZ61" s="74">
        <v>0</v>
      </c>
      <c r="BA61" s="59">
        <v>0</v>
      </c>
      <c r="BB61" s="48">
        <v>28.91</v>
      </c>
      <c r="BC61" s="48">
        <v>211.05</v>
      </c>
      <c r="BG61" s="74">
        <v>15.828749999999999</v>
      </c>
    </row>
    <row r="62" spans="1:59" x14ac:dyDescent="0.25">
      <c r="A62" s="45">
        <v>1</v>
      </c>
      <c r="B62" s="45" t="s">
        <v>312</v>
      </c>
      <c r="C62" s="75" t="s">
        <v>316</v>
      </c>
      <c r="D62" s="74">
        <v>200</v>
      </c>
      <c r="E62" s="48">
        <v>0</v>
      </c>
      <c r="F62" s="74">
        <v>0</v>
      </c>
      <c r="G62" s="48">
        <v>0</v>
      </c>
      <c r="H62" s="74"/>
      <c r="I62" s="48"/>
      <c r="J62" s="74"/>
      <c r="K62" s="48"/>
      <c r="L62" s="74"/>
      <c r="M62" s="48"/>
      <c r="N62" s="74"/>
      <c r="O62" s="48"/>
      <c r="P62" s="74"/>
      <c r="Q62" s="48"/>
      <c r="R62" s="74"/>
      <c r="S62" s="48"/>
      <c r="T62" s="74">
        <v>0</v>
      </c>
      <c r="U62" s="48"/>
      <c r="V62" s="74"/>
      <c r="W62" s="48"/>
      <c r="X62" s="74">
        <v>0</v>
      </c>
      <c r="Y62" s="48">
        <v>0</v>
      </c>
      <c r="Z62" s="74"/>
      <c r="AA62" s="48"/>
      <c r="AB62" s="74">
        <v>1300</v>
      </c>
      <c r="AC62" s="48">
        <v>113</v>
      </c>
      <c r="AD62" s="74"/>
      <c r="AE62" s="48"/>
      <c r="AF62" s="74"/>
      <c r="AG62" s="48"/>
      <c r="AH62" s="74"/>
      <c r="AI62" s="48"/>
      <c r="AJ62" s="74"/>
      <c r="AK62" s="48"/>
      <c r="AL62" s="74"/>
      <c r="AM62" s="48"/>
      <c r="AN62" s="74"/>
      <c r="AO62" s="48">
        <v>850.99070277777798</v>
      </c>
      <c r="AP62" s="74"/>
      <c r="AQ62" s="48">
        <v>0</v>
      </c>
      <c r="AR62" s="74">
        <v>0</v>
      </c>
      <c r="AS62" s="48">
        <v>0</v>
      </c>
      <c r="AT62" s="74"/>
      <c r="AU62" s="48"/>
      <c r="AV62" s="74">
        <v>565.20000000000005</v>
      </c>
      <c r="AW62" s="48">
        <v>0</v>
      </c>
      <c r="AX62" s="74"/>
      <c r="AY62" s="48"/>
      <c r="AZ62" s="74">
        <v>0</v>
      </c>
      <c r="BA62" s="59">
        <v>0</v>
      </c>
      <c r="BB62" s="48">
        <v>19.36</v>
      </c>
      <c r="BC62" s="48">
        <v>141.30000000000001</v>
      </c>
      <c r="BG62" s="74">
        <v>10.5975</v>
      </c>
    </row>
    <row r="63" spans="1:59" x14ac:dyDescent="0.25">
      <c r="A63" s="45">
        <v>1</v>
      </c>
      <c r="B63" s="45" t="s">
        <v>408</v>
      </c>
      <c r="C63" s="75" t="s">
        <v>382</v>
      </c>
      <c r="D63" s="74">
        <v>200</v>
      </c>
      <c r="E63" s="48">
        <v>0</v>
      </c>
      <c r="F63" s="74">
        <v>75</v>
      </c>
      <c r="G63" s="48">
        <v>0</v>
      </c>
      <c r="H63" s="74"/>
      <c r="I63" s="48"/>
      <c r="J63" s="74"/>
      <c r="K63" s="48"/>
      <c r="L63" s="74"/>
      <c r="M63" s="48"/>
      <c r="N63" s="74"/>
      <c r="O63" s="48"/>
      <c r="P63" s="74"/>
      <c r="Q63" s="48"/>
      <c r="R63" s="74"/>
      <c r="S63" s="48"/>
      <c r="T63" s="74">
        <v>306.04000000000002</v>
      </c>
      <c r="U63" s="48"/>
      <c r="V63" s="74"/>
      <c r="W63" s="48"/>
      <c r="X63" s="74">
        <v>165.26</v>
      </c>
      <c r="Y63" s="48">
        <v>822.35</v>
      </c>
      <c r="Z63" s="74"/>
      <c r="AA63" s="48"/>
      <c r="AB63" s="74">
        <v>1130</v>
      </c>
      <c r="AC63" s="48">
        <v>0</v>
      </c>
      <c r="AD63" s="74"/>
      <c r="AE63" s="48"/>
      <c r="AF63" s="74"/>
      <c r="AG63" s="48"/>
      <c r="AH63" s="74"/>
      <c r="AI63" s="48"/>
      <c r="AJ63" s="74"/>
      <c r="AK63" s="48"/>
      <c r="AL63" s="74"/>
      <c r="AM63" s="48"/>
      <c r="AN63" s="74"/>
      <c r="AO63" s="48">
        <v>547.11083333333295</v>
      </c>
      <c r="AP63" s="74"/>
      <c r="AQ63" s="48">
        <v>0</v>
      </c>
      <c r="AR63" s="74">
        <v>0</v>
      </c>
      <c r="AS63" s="48">
        <v>0</v>
      </c>
      <c r="AT63" s="74"/>
      <c r="AU63" s="48"/>
      <c r="AV63" s="74">
        <v>640.52</v>
      </c>
      <c r="AW63" s="48">
        <v>0</v>
      </c>
      <c r="AX63" s="74"/>
      <c r="AY63" s="48"/>
      <c r="AZ63" s="74">
        <v>0</v>
      </c>
      <c r="BA63" s="59">
        <v>0</v>
      </c>
      <c r="BB63" s="48">
        <v>33.200000000000003</v>
      </c>
      <c r="BC63" s="48">
        <v>242.37</v>
      </c>
      <c r="BG63" s="74">
        <v>18.177375000000001</v>
      </c>
    </row>
    <row r="64" spans="1:59" x14ac:dyDescent="0.25">
      <c r="A64" s="45">
        <v>1</v>
      </c>
      <c r="B64" s="45" t="s">
        <v>334</v>
      </c>
      <c r="C64" s="75" t="s">
        <v>326</v>
      </c>
      <c r="D64" s="74">
        <v>200</v>
      </c>
      <c r="E64" s="48">
        <v>0</v>
      </c>
      <c r="F64" s="74">
        <v>74</v>
      </c>
      <c r="G64" s="48">
        <v>52</v>
      </c>
      <c r="H64" s="74"/>
      <c r="I64" s="48"/>
      <c r="J64" s="74"/>
      <c r="K64" s="48"/>
      <c r="L64" s="74"/>
      <c r="M64" s="48"/>
      <c r="N64" s="74"/>
      <c r="O64" s="48"/>
      <c r="P64" s="74"/>
      <c r="Q64" s="48"/>
      <c r="R64" s="74"/>
      <c r="S64" s="48"/>
      <c r="T64" s="74">
        <v>410.91</v>
      </c>
      <c r="U64" s="48"/>
      <c r="V64" s="74"/>
      <c r="W64" s="48"/>
      <c r="X64" s="74">
        <v>220.74</v>
      </c>
      <c r="Y64" s="48">
        <v>556.31000000000006</v>
      </c>
      <c r="Z64" s="74"/>
      <c r="AA64" s="48"/>
      <c r="AB64" s="74">
        <v>1130</v>
      </c>
      <c r="AC64" s="48">
        <v>113</v>
      </c>
      <c r="AD64" s="74"/>
      <c r="AE64" s="48"/>
      <c r="AF64" s="74"/>
      <c r="AG64" s="48"/>
      <c r="AH64" s="74"/>
      <c r="AI64" s="48"/>
      <c r="AJ64" s="74"/>
      <c r="AK64" s="48"/>
      <c r="AL64" s="74"/>
      <c r="AM64" s="48"/>
      <c r="AN64" s="74"/>
      <c r="AO64" s="48">
        <v>1112.5999750000001</v>
      </c>
      <c r="AP64" s="74"/>
      <c r="AQ64" s="48">
        <v>274.2</v>
      </c>
      <c r="AR64" s="74">
        <v>0</v>
      </c>
      <c r="AS64" s="48">
        <v>0</v>
      </c>
      <c r="AT64" s="74"/>
      <c r="AU64" s="48"/>
      <c r="AV64" s="74">
        <v>860</v>
      </c>
      <c r="AW64" s="48">
        <v>0</v>
      </c>
      <c r="AX64" s="74"/>
      <c r="AY64" s="48"/>
      <c r="AZ64" s="74">
        <v>0</v>
      </c>
      <c r="BA64" s="59">
        <v>0</v>
      </c>
      <c r="BB64" s="48">
        <v>0</v>
      </c>
      <c r="BC64" s="48">
        <v>316.02</v>
      </c>
      <c r="BG64" s="74">
        <v>18.232199999999999</v>
      </c>
    </row>
    <row r="65" spans="1:59" x14ac:dyDescent="0.25">
      <c r="A65" s="45">
        <v>1</v>
      </c>
      <c r="B65" s="45" t="s">
        <v>409</v>
      </c>
      <c r="C65" s="75" t="s">
        <v>383</v>
      </c>
      <c r="D65" s="74">
        <v>200</v>
      </c>
      <c r="E65" s="48">
        <v>0</v>
      </c>
      <c r="F65" s="74">
        <v>75</v>
      </c>
      <c r="G65" s="48">
        <v>0</v>
      </c>
      <c r="H65" s="74"/>
      <c r="I65" s="48"/>
      <c r="J65" s="74"/>
      <c r="K65" s="48"/>
      <c r="L65" s="74"/>
      <c r="M65" s="48"/>
      <c r="N65" s="74"/>
      <c r="O65" s="48"/>
      <c r="P65" s="74"/>
      <c r="Q65" s="48"/>
      <c r="R65" s="74"/>
      <c r="S65" s="48"/>
      <c r="T65" s="74">
        <v>324.89999999999998</v>
      </c>
      <c r="U65" s="48"/>
      <c r="V65" s="74"/>
      <c r="W65" s="48"/>
      <c r="X65" s="74">
        <v>175.45</v>
      </c>
      <c r="Y65" s="48">
        <v>549.84</v>
      </c>
      <c r="Z65" s="74"/>
      <c r="AA65" s="48"/>
      <c r="AB65" s="74">
        <v>1130</v>
      </c>
      <c r="AC65" s="48">
        <v>0</v>
      </c>
      <c r="AD65" s="74"/>
      <c r="AE65" s="48"/>
      <c r="AF65" s="74"/>
      <c r="AG65" s="48"/>
      <c r="AH65" s="74"/>
      <c r="AI65" s="48"/>
      <c r="AJ65" s="74"/>
      <c r="AK65" s="48"/>
      <c r="AL65" s="74"/>
      <c r="AM65" s="48"/>
      <c r="AN65" s="74"/>
      <c r="AO65" s="48">
        <v>117.7475</v>
      </c>
      <c r="AP65" s="74"/>
      <c r="AQ65" s="48">
        <v>69.650000000000006</v>
      </c>
      <c r="AR65" s="74">
        <v>0</v>
      </c>
      <c r="AS65" s="48">
        <v>0</v>
      </c>
      <c r="AT65" s="74"/>
      <c r="AU65" s="48"/>
      <c r="AV65" s="74">
        <v>680</v>
      </c>
      <c r="AW65" s="48">
        <v>0</v>
      </c>
      <c r="AX65" s="74"/>
      <c r="AY65" s="48"/>
      <c r="AZ65" s="74">
        <v>0</v>
      </c>
      <c r="BA65" s="59">
        <v>0</v>
      </c>
      <c r="BB65" s="48">
        <v>29.87</v>
      </c>
      <c r="BC65" s="48">
        <v>218.02</v>
      </c>
      <c r="BG65" s="74">
        <v>16.351424999999999</v>
      </c>
    </row>
    <row r="66" spans="1:59" x14ac:dyDescent="0.25">
      <c r="A66" s="45">
        <v>1</v>
      </c>
      <c r="B66" s="45" t="s">
        <v>410</v>
      </c>
      <c r="C66" s="75" t="s">
        <v>384</v>
      </c>
      <c r="D66" s="74">
        <v>200</v>
      </c>
      <c r="E66" s="48">
        <v>0</v>
      </c>
      <c r="F66" s="74">
        <v>75</v>
      </c>
      <c r="G66" s="48">
        <v>0</v>
      </c>
      <c r="H66" s="74"/>
      <c r="I66" s="48"/>
      <c r="J66" s="74"/>
      <c r="K66" s="48"/>
      <c r="L66" s="74"/>
      <c r="M66" s="48"/>
      <c r="N66" s="74"/>
      <c r="O66" s="48"/>
      <c r="P66" s="74"/>
      <c r="Q66" s="48"/>
      <c r="R66" s="74"/>
      <c r="S66" s="48"/>
      <c r="T66" s="74">
        <v>355.51</v>
      </c>
      <c r="U66" s="48"/>
      <c r="V66" s="74"/>
      <c r="W66" s="48"/>
      <c r="X66" s="74">
        <v>191.98</v>
      </c>
      <c r="Y66" s="48">
        <v>0</v>
      </c>
      <c r="Z66" s="74"/>
      <c r="AA66" s="48"/>
      <c r="AB66" s="74">
        <v>1199.6500000000001</v>
      </c>
      <c r="AC66" s="48">
        <v>113</v>
      </c>
      <c r="AD66" s="74"/>
      <c r="AE66" s="48"/>
      <c r="AF66" s="74"/>
      <c r="AG66" s="48"/>
      <c r="AH66" s="74"/>
      <c r="AI66" s="48"/>
      <c r="AJ66" s="74"/>
      <c r="AK66" s="48"/>
      <c r="AL66" s="74"/>
      <c r="AM66" s="48"/>
      <c r="AN66" s="74"/>
      <c r="AO66" s="48">
        <v>0</v>
      </c>
      <c r="AP66" s="74"/>
      <c r="AQ66" s="48">
        <v>0</v>
      </c>
      <c r="AR66" s="74">
        <v>0</v>
      </c>
      <c r="AS66" s="48">
        <v>0</v>
      </c>
      <c r="AT66" s="74"/>
      <c r="AU66" s="48"/>
      <c r="AV66" s="74">
        <v>680</v>
      </c>
      <c r="AW66" s="48">
        <v>0</v>
      </c>
      <c r="AX66" s="74"/>
      <c r="AY66" s="48"/>
      <c r="AZ66" s="74">
        <v>0</v>
      </c>
      <c r="BA66" s="59">
        <v>0</v>
      </c>
      <c r="BB66" s="48">
        <v>25.48</v>
      </c>
      <c r="BC66" s="48">
        <v>186.01</v>
      </c>
      <c r="BG66" s="74">
        <v>13.95105</v>
      </c>
    </row>
    <row r="67" spans="1:59" x14ac:dyDescent="0.25">
      <c r="A67" s="45">
        <v>1</v>
      </c>
      <c r="B67" s="45" t="s">
        <v>305</v>
      </c>
      <c r="C67" s="75" t="s">
        <v>284</v>
      </c>
      <c r="D67" s="74">
        <v>142</v>
      </c>
      <c r="E67" s="48">
        <v>34</v>
      </c>
      <c r="F67" s="74">
        <v>0</v>
      </c>
      <c r="G67" s="48">
        <v>0</v>
      </c>
      <c r="H67" s="74"/>
      <c r="I67" s="48"/>
      <c r="J67" s="74"/>
      <c r="K67" s="48"/>
      <c r="L67" s="74"/>
      <c r="M67" s="48"/>
      <c r="N67" s="74"/>
      <c r="O67" s="48"/>
      <c r="P67" s="74"/>
      <c r="Q67" s="48"/>
      <c r="R67" s="74"/>
      <c r="S67" s="48"/>
      <c r="T67" s="74">
        <v>0</v>
      </c>
      <c r="U67" s="48"/>
      <c r="V67" s="74"/>
      <c r="W67" s="48"/>
      <c r="X67" s="74">
        <v>0</v>
      </c>
      <c r="Y67" s="48">
        <v>0</v>
      </c>
      <c r="Z67" s="74"/>
      <c r="AA67" s="48"/>
      <c r="AB67" s="74">
        <v>1354.42</v>
      </c>
      <c r="AC67" s="48">
        <v>113</v>
      </c>
      <c r="AD67" s="74"/>
      <c r="AE67" s="48"/>
      <c r="AF67" s="74"/>
      <c r="AG67" s="48"/>
      <c r="AH67" s="74"/>
      <c r="AI67" s="48"/>
      <c r="AJ67" s="74"/>
      <c r="AK67" s="48"/>
      <c r="AL67" s="74"/>
      <c r="AM67" s="48"/>
      <c r="AN67" s="74"/>
      <c r="AO67" s="48">
        <v>1184.9313347222201</v>
      </c>
      <c r="AP67" s="74"/>
      <c r="AQ67" s="48">
        <v>489.73</v>
      </c>
      <c r="AR67" s="74">
        <v>0</v>
      </c>
      <c r="AS67" s="48">
        <v>0</v>
      </c>
      <c r="AT67" s="74"/>
      <c r="AU67" s="48"/>
      <c r="AV67" s="74">
        <v>1080</v>
      </c>
      <c r="AW67" s="48">
        <v>0</v>
      </c>
      <c r="AX67" s="74"/>
      <c r="AY67" s="48"/>
      <c r="AZ67" s="74">
        <v>23.48</v>
      </c>
      <c r="BA67" s="59">
        <v>0</v>
      </c>
      <c r="BB67" s="48">
        <v>20.100000000000001</v>
      </c>
      <c r="BC67" s="48">
        <v>146.74</v>
      </c>
      <c r="BG67" s="74">
        <v>11.005649999999999</v>
      </c>
    </row>
    <row r="68" spans="1:59" x14ac:dyDescent="0.25">
      <c r="A68" s="45">
        <v>1</v>
      </c>
      <c r="B68" s="45" t="s">
        <v>411</v>
      </c>
      <c r="C68" s="75" t="s">
        <v>385</v>
      </c>
      <c r="D68" s="74">
        <v>200</v>
      </c>
      <c r="E68" s="48">
        <v>0</v>
      </c>
      <c r="F68" s="74">
        <v>75</v>
      </c>
      <c r="G68" s="48">
        <v>0</v>
      </c>
      <c r="H68" s="74"/>
      <c r="I68" s="48"/>
      <c r="J68" s="74"/>
      <c r="K68" s="48"/>
      <c r="L68" s="74"/>
      <c r="M68" s="48"/>
      <c r="N68" s="74"/>
      <c r="O68" s="48"/>
      <c r="P68" s="74"/>
      <c r="Q68" s="48"/>
      <c r="R68" s="74"/>
      <c r="S68" s="48"/>
      <c r="T68" s="74">
        <v>346.5</v>
      </c>
      <c r="U68" s="48"/>
      <c r="V68" s="74"/>
      <c r="W68" s="48"/>
      <c r="X68" s="74">
        <v>187.11</v>
      </c>
      <c r="Y68" s="48">
        <v>0</v>
      </c>
      <c r="Z68" s="74"/>
      <c r="AA68" s="48"/>
      <c r="AB68" s="74">
        <v>1130</v>
      </c>
      <c r="AC68" s="48">
        <v>113</v>
      </c>
      <c r="AD68" s="74"/>
      <c r="AE68" s="48"/>
      <c r="AF68" s="74"/>
      <c r="AG68" s="48"/>
      <c r="AH68" s="74"/>
      <c r="AI68" s="48"/>
      <c r="AJ68" s="74"/>
      <c r="AK68" s="48"/>
      <c r="AL68" s="74"/>
      <c r="AM68" s="48"/>
      <c r="AN68" s="74"/>
      <c r="AO68" s="48">
        <v>0</v>
      </c>
      <c r="AP68" s="74"/>
      <c r="AQ68" s="48">
        <v>36.39</v>
      </c>
      <c r="AR68" s="74">
        <v>0</v>
      </c>
      <c r="AS68" s="48">
        <v>0</v>
      </c>
      <c r="AT68" s="74"/>
      <c r="AU68" s="48"/>
      <c r="AV68" s="74">
        <v>640.52</v>
      </c>
      <c r="AW68" s="48">
        <v>0</v>
      </c>
      <c r="AX68" s="74"/>
      <c r="AY68" s="48"/>
      <c r="AZ68" s="74">
        <v>0</v>
      </c>
      <c r="BA68" s="59">
        <v>0</v>
      </c>
      <c r="BB68" s="48">
        <v>24.34</v>
      </c>
      <c r="BC68" s="48">
        <v>177.66</v>
      </c>
      <c r="BG68" s="74">
        <v>13.324574999999999</v>
      </c>
    </row>
    <row r="69" spans="1:59" x14ac:dyDescent="0.25">
      <c r="A69" s="45">
        <v>1</v>
      </c>
      <c r="B69" s="45" t="s">
        <v>412</v>
      </c>
      <c r="C69" s="75" t="s">
        <v>386</v>
      </c>
      <c r="D69" s="74">
        <v>200</v>
      </c>
      <c r="E69" s="48">
        <v>0</v>
      </c>
      <c r="F69" s="74">
        <v>46</v>
      </c>
      <c r="G69" s="48">
        <v>5</v>
      </c>
      <c r="H69" s="74"/>
      <c r="I69" s="48"/>
      <c r="J69" s="74"/>
      <c r="K69" s="48"/>
      <c r="L69" s="74"/>
      <c r="M69" s="48"/>
      <c r="N69" s="74"/>
      <c r="O69" s="48"/>
      <c r="P69" s="74"/>
      <c r="Q69" s="48"/>
      <c r="R69" s="74"/>
      <c r="S69" s="48"/>
      <c r="T69" s="74">
        <v>552.78</v>
      </c>
      <c r="U69" s="48"/>
      <c r="V69" s="74"/>
      <c r="W69" s="48"/>
      <c r="X69" s="74">
        <v>141.88</v>
      </c>
      <c r="Y69" s="48">
        <v>0</v>
      </c>
      <c r="Z69" s="74"/>
      <c r="AA69" s="48"/>
      <c r="AB69" s="74">
        <v>2000</v>
      </c>
      <c r="AC69" s="48">
        <v>0</v>
      </c>
      <c r="AD69" s="74"/>
      <c r="AE69" s="48"/>
      <c r="AF69" s="74"/>
      <c r="AG69" s="48"/>
      <c r="AH69" s="74"/>
      <c r="AI69" s="48"/>
      <c r="AJ69" s="74"/>
      <c r="AK69" s="48"/>
      <c r="AL69" s="74"/>
      <c r="AM69" s="48"/>
      <c r="AN69" s="74"/>
      <c r="AO69" s="48">
        <v>611.11111111111097</v>
      </c>
      <c r="AP69" s="74"/>
      <c r="AQ69" s="48">
        <v>700</v>
      </c>
      <c r="AR69" s="74">
        <v>150</v>
      </c>
      <c r="AS69" s="48">
        <v>0</v>
      </c>
      <c r="AT69" s="74"/>
      <c r="AU69" s="48"/>
      <c r="AV69" s="74">
        <v>1140</v>
      </c>
      <c r="AW69" s="48">
        <v>0</v>
      </c>
      <c r="AX69" s="74"/>
      <c r="AY69" s="48"/>
      <c r="AZ69" s="74">
        <v>41.77</v>
      </c>
      <c r="BA69" s="59">
        <v>0</v>
      </c>
      <c r="BB69" s="48">
        <v>36.92</v>
      </c>
      <c r="BC69" s="48">
        <v>269.47000000000003</v>
      </c>
      <c r="BG69" s="74">
        <v>20.209949999999999</v>
      </c>
    </row>
    <row r="70" spans="1:59" x14ac:dyDescent="0.25">
      <c r="A70" s="45">
        <v>1</v>
      </c>
      <c r="B70" s="45" t="s">
        <v>354</v>
      </c>
      <c r="C70" s="75" t="s">
        <v>358</v>
      </c>
      <c r="D70" s="74">
        <v>200</v>
      </c>
      <c r="E70" s="48">
        <v>0</v>
      </c>
      <c r="F70" s="74">
        <v>72</v>
      </c>
      <c r="G70" s="48">
        <v>36</v>
      </c>
      <c r="H70" s="74"/>
      <c r="I70" s="48"/>
      <c r="J70" s="74"/>
      <c r="K70" s="48"/>
      <c r="L70" s="74"/>
      <c r="M70" s="48"/>
      <c r="N70" s="74"/>
      <c r="O70" s="48"/>
      <c r="P70" s="74"/>
      <c r="Q70" s="48"/>
      <c r="R70" s="74"/>
      <c r="S70" s="48"/>
      <c r="T70" s="74">
        <v>334.53</v>
      </c>
      <c r="U70" s="48"/>
      <c r="V70" s="74"/>
      <c r="W70" s="48"/>
      <c r="X70" s="74">
        <v>178.19</v>
      </c>
      <c r="Y70" s="48">
        <v>112.52</v>
      </c>
      <c r="Z70" s="74"/>
      <c r="AA70" s="48"/>
      <c r="AB70" s="74">
        <v>1130</v>
      </c>
      <c r="AC70" s="48">
        <v>0</v>
      </c>
      <c r="AD70" s="74"/>
      <c r="AE70" s="48"/>
      <c r="AF70" s="74"/>
      <c r="AG70" s="48"/>
      <c r="AH70" s="74"/>
      <c r="AI70" s="48"/>
      <c r="AJ70" s="74"/>
      <c r="AK70" s="48"/>
      <c r="AL70" s="74"/>
      <c r="AM70" s="48"/>
      <c r="AN70" s="74"/>
      <c r="AO70" s="48">
        <v>932.71288333333302</v>
      </c>
      <c r="AP70" s="74"/>
      <c r="AQ70" s="48">
        <v>140.21</v>
      </c>
      <c r="AR70" s="74">
        <v>0</v>
      </c>
      <c r="AS70" s="48">
        <v>0</v>
      </c>
      <c r="AT70" s="74"/>
      <c r="AU70" s="48"/>
      <c r="AV70" s="74">
        <v>720</v>
      </c>
      <c r="AW70" s="48">
        <v>0</v>
      </c>
      <c r="AX70" s="74"/>
      <c r="AY70" s="48"/>
      <c r="AZ70" s="74">
        <v>0</v>
      </c>
      <c r="BA70" s="59">
        <v>0</v>
      </c>
      <c r="BB70" s="48">
        <v>24.05</v>
      </c>
      <c r="BC70" s="48">
        <v>175.52</v>
      </c>
      <c r="BG70" s="74">
        <v>13.164299999999999</v>
      </c>
    </row>
    <row r="71" spans="1:59" x14ac:dyDescent="0.25">
      <c r="A71" s="45">
        <v>1</v>
      </c>
      <c r="B71" s="45" t="s">
        <v>306</v>
      </c>
      <c r="C71" s="75" t="s">
        <v>297</v>
      </c>
      <c r="D71" s="74">
        <v>200</v>
      </c>
      <c r="E71" s="48">
        <v>0</v>
      </c>
      <c r="F71" s="74">
        <v>0</v>
      </c>
      <c r="G71" s="48">
        <v>0</v>
      </c>
      <c r="H71" s="74"/>
      <c r="I71" s="48"/>
      <c r="J71" s="74"/>
      <c r="K71" s="48"/>
      <c r="L71" s="74"/>
      <c r="M71" s="48"/>
      <c r="N71" s="74"/>
      <c r="O71" s="48"/>
      <c r="P71" s="74"/>
      <c r="Q71" s="48"/>
      <c r="R71" s="74"/>
      <c r="S71" s="48"/>
      <c r="T71" s="74">
        <v>0</v>
      </c>
      <c r="U71" s="48"/>
      <c r="V71" s="74"/>
      <c r="W71" s="48"/>
      <c r="X71" s="74">
        <v>0</v>
      </c>
      <c r="Y71" s="48">
        <v>0</v>
      </c>
      <c r="Z71" s="74"/>
      <c r="AA71" s="48"/>
      <c r="AB71" s="74">
        <v>1500</v>
      </c>
      <c r="AC71" s="48">
        <v>0</v>
      </c>
      <c r="AD71" s="74"/>
      <c r="AE71" s="48"/>
      <c r="AF71" s="74"/>
      <c r="AG71" s="48"/>
      <c r="AH71" s="74"/>
      <c r="AI71" s="48"/>
      <c r="AJ71" s="74"/>
      <c r="AK71" s="48"/>
      <c r="AL71" s="74"/>
      <c r="AM71" s="48"/>
      <c r="AN71" s="74"/>
      <c r="AO71" s="48">
        <v>886.25</v>
      </c>
      <c r="AP71" s="74"/>
      <c r="AQ71" s="48">
        <v>500</v>
      </c>
      <c r="AR71" s="74">
        <v>500</v>
      </c>
      <c r="AS71" s="48">
        <v>0</v>
      </c>
      <c r="AT71" s="74"/>
      <c r="AU71" s="48"/>
      <c r="AV71" s="74">
        <v>700</v>
      </c>
      <c r="AW71" s="48">
        <v>300</v>
      </c>
      <c r="AX71" s="74"/>
      <c r="AY71" s="48"/>
      <c r="AZ71" s="74">
        <v>0</v>
      </c>
      <c r="BA71" s="59">
        <v>0</v>
      </c>
      <c r="BB71" s="48">
        <v>20.55</v>
      </c>
      <c r="BC71" s="48">
        <v>150</v>
      </c>
      <c r="BG71" s="74">
        <v>11.25</v>
      </c>
    </row>
  </sheetData>
  <autoFilter ref="A6:BI6" xr:uid="{00000000-0009-0000-0000-000001000000}"/>
  <mergeCells count="15">
    <mergeCell ref="B2:C2"/>
    <mergeCell ref="D5:G5"/>
    <mergeCell ref="H5:I5"/>
    <mergeCell ref="J5:K5"/>
    <mergeCell ref="L5:O5"/>
    <mergeCell ref="P5:S5"/>
    <mergeCell ref="T4:AB4"/>
    <mergeCell ref="BF4:BH4"/>
    <mergeCell ref="AE4:AH4"/>
    <mergeCell ref="AI4:AK4"/>
    <mergeCell ref="AO4:AT4"/>
    <mergeCell ref="AC4:AD4"/>
    <mergeCell ref="AL4:AN4"/>
    <mergeCell ref="AV4:AY4"/>
    <mergeCell ref="AZ4:BE4"/>
  </mergeCells>
  <pageMargins left="0.7" right="0.7" top="0.75" bottom="0.75" header="0.3" footer="0.3"/>
  <pageSetup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2D050"/>
  </sheetPr>
  <dimension ref="A1:R45"/>
  <sheetViews>
    <sheetView zoomScale="90" zoomScaleNormal="90" workbookViewId="0">
      <pane xSplit="3" ySplit="6" topLeftCell="J7" activePane="bottomRight" state="frozen"/>
      <selection pane="topRight" activeCell="D1" sqref="D1"/>
      <selection pane="bottomLeft" activeCell="A7" sqref="A7"/>
      <selection pane="bottomRight" activeCell="Q7" sqref="Q7"/>
    </sheetView>
  </sheetViews>
  <sheetFormatPr baseColWidth="10" defaultRowHeight="15" x14ac:dyDescent="0.25"/>
  <cols>
    <col min="1" max="1" width="16.28515625" bestFit="1" customWidth="1"/>
    <col min="2" max="2" width="17" customWidth="1"/>
    <col min="3" max="3" width="18.7109375" customWidth="1"/>
    <col min="4" max="4" width="21.28515625" customWidth="1"/>
    <col min="5" max="5" width="18.7109375" customWidth="1"/>
    <col min="6" max="6" width="14.7109375" customWidth="1"/>
    <col min="7" max="7" width="15.28515625" customWidth="1"/>
    <col min="8" max="8" width="17.7109375" style="33" customWidth="1"/>
    <col min="9" max="10" width="14.7109375" customWidth="1"/>
    <col min="11" max="11" width="12.7109375" customWidth="1"/>
    <col min="12" max="12" width="13.28515625" style="2" bestFit="1" customWidth="1"/>
    <col min="13" max="13" width="12.7109375" style="2" customWidth="1"/>
    <col min="14" max="15" width="13.85546875" customWidth="1"/>
    <col min="16" max="16" width="13.42578125" customWidth="1"/>
    <col min="17" max="18" width="11.42578125" style="33"/>
  </cols>
  <sheetData>
    <row r="1" spans="1:18" ht="15.75" thickBot="1" x14ac:dyDescent="0.3"/>
    <row r="2" spans="1:18" ht="39.950000000000003" customHeight="1" thickTop="1" thickBot="1" x14ac:dyDescent="0.3">
      <c r="B2" s="101" t="s">
        <v>216</v>
      </c>
      <c r="C2" s="102"/>
      <c r="D2" s="102"/>
      <c r="E2" s="103"/>
      <c r="F2" s="39"/>
      <c r="G2" s="39"/>
      <c r="H2" s="79"/>
    </row>
    <row r="3" spans="1:18" ht="15" customHeight="1" thickTop="1" thickBot="1" x14ac:dyDescent="0.3">
      <c r="B3" s="3"/>
      <c r="C3" s="3"/>
    </row>
    <row r="4" spans="1:18" ht="24.95" customHeight="1" thickTop="1" thickBot="1" x14ac:dyDescent="0.3">
      <c r="A4" s="35" t="s">
        <v>190</v>
      </c>
      <c r="B4" s="8"/>
      <c r="C4" s="4"/>
      <c r="D4" s="4"/>
      <c r="E4" s="4"/>
      <c r="F4" s="4"/>
      <c r="G4" s="35" t="s">
        <v>195</v>
      </c>
      <c r="H4" s="35" t="s">
        <v>193</v>
      </c>
      <c r="I4" s="8"/>
      <c r="J4" s="8"/>
      <c r="K4" s="8"/>
      <c r="L4" s="49"/>
      <c r="M4" s="49"/>
      <c r="N4" s="8"/>
      <c r="O4" s="8"/>
      <c r="P4" s="8"/>
    </row>
    <row r="5" spans="1:18" ht="24.95" customHeight="1" thickTop="1" thickBot="1" x14ac:dyDescent="0.3">
      <c r="A5" s="37"/>
      <c r="B5" s="38"/>
      <c r="C5" s="100" t="s">
        <v>3</v>
      </c>
      <c r="D5" s="100"/>
      <c r="E5" s="100"/>
      <c r="F5" s="100"/>
      <c r="G5" s="100"/>
      <c r="H5" s="100" t="s">
        <v>4</v>
      </c>
      <c r="I5" s="100"/>
      <c r="J5" s="100"/>
      <c r="K5" s="100"/>
      <c r="L5" s="100"/>
      <c r="M5" s="100"/>
      <c r="N5" s="100"/>
      <c r="O5" s="100"/>
      <c r="P5" s="100"/>
    </row>
    <row r="6" spans="1:18" ht="43.9" customHeight="1" thickTop="1" thickBot="1" x14ac:dyDescent="0.3">
      <c r="A6" s="35" t="s">
        <v>36</v>
      </c>
      <c r="B6" s="35" t="s">
        <v>37</v>
      </c>
      <c r="C6" s="35" t="s">
        <v>38</v>
      </c>
      <c r="D6" s="35" t="s">
        <v>39</v>
      </c>
      <c r="E6" s="35" t="s">
        <v>40</v>
      </c>
      <c r="F6" s="35" t="s">
        <v>41</v>
      </c>
      <c r="G6" s="35" t="s">
        <v>42</v>
      </c>
      <c r="H6" s="35" t="s">
        <v>43</v>
      </c>
      <c r="I6" s="35" t="s">
        <v>44</v>
      </c>
      <c r="J6" s="35" t="s">
        <v>45</v>
      </c>
      <c r="K6" s="35" t="s">
        <v>46</v>
      </c>
      <c r="L6" s="50" t="s">
        <v>47</v>
      </c>
      <c r="M6" s="50" t="s">
        <v>48</v>
      </c>
      <c r="N6" s="35" t="s">
        <v>49</v>
      </c>
      <c r="O6" s="35" t="s">
        <v>50</v>
      </c>
      <c r="P6" s="35" t="s">
        <v>51</v>
      </c>
    </row>
    <row r="7" spans="1:18" s="77" customFormat="1" ht="15.75" thickTop="1" x14ac:dyDescent="0.25">
      <c r="A7" s="77">
        <v>6</v>
      </c>
      <c r="B7" s="77">
        <v>10707277535</v>
      </c>
      <c r="C7" s="77" t="s">
        <v>469</v>
      </c>
      <c r="D7" s="77" t="s">
        <v>470</v>
      </c>
      <c r="E7" s="77" t="s">
        <v>471</v>
      </c>
      <c r="F7" s="77">
        <v>1</v>
      </c>
      <c r="G7" s="77">
        <v>0</v>
      </c>
      <c r="H7" s="78" t="s">
        <v>299</v>
      </c>
      <c r="I7" s="77" t="s">
        <v>52</v>
      </c>
      <c r="J7" s="80">
        <v>1</v>
      </c>
      <c r="K7" s="81">
        <v>1600</v>
      </c>
      <c r="L7" s="82">
        <v>45988</v>
      </c>
      <c r="M7" s="82">
        <v>45988</v>
      </c>
      <c r="N7" s="77">
        <v>0</v>
      </c>
      <c r="Q7" s="78"/>
      <c r="R7" s="78"/>
    </row>
    <row r="8" spans="1:18" s="77" customFormat="1" x14ac:dyDescent="0.25">
      <c r="A8" s="77">
        <v>6</v>
      </c>
      <c r="B8" s="77">
        <v>10708377096</v>
      </c>
      <c r="C8" s="77" t="s">
        <v>434</v>
      </c>
      <c r="D8" s="77" t="s">
        <v>435</v>
      </c>
      <c r="E8" s="77" t="s">
        <v>436</v>
      </c>
      <c r="F8" s="77">
        <v>1</v>
      </c>
      <c r="G8" s="77">
        <v>0</v>
      </c>
      <c r="H8" s="78" t="s">
        <v>299</v>
      </c>
      <c r="I8" s="77" t="s">
        <v>52</v>
      </c>
      <c r="J8" s="80">
        <v>7</v>
      </c>
      <c r="K8" s="81">
        <v>903</v>
      </c>
      <c r="L8" s="82">
        <v>45964</v>
      </c>
      <c r="M8" s="82">
        <v>45964</v>
      </c>
      <c r="N8" s="77">
        <v>0</v>
      </c>
      <c r="Q8" s="78"/>
      <c r="R8" s="78"/>
    </row>
    <row r="9" spans="1:18" s="77" customFormat="1" x14ac:dyDescent="0.25">
      <c r="A9" s="77">
        <v>6</v>
      </c>
      <c r="B9" s="77">
        <v>10756247102</v>
      </c>
      <c r="C9" s="77" t="s">
        <v>445</v>
      </c>
      <c r="D9" s="77" t="s">
        <v>446</v>
      </c>
      <c r="E9" s="77" t="s">
        <v>447</v>
      </c>
      <c r="F9" s="77">
        <v>1</v>
      </c>
      <c r="G9" s="77">
        <v>0</v>
      </c>
      <c r="H9" s="78" t="s">
        <v>299</v>
      </c>
      <c r="I9" s="77" t="s">
        <v>52</v>
      </c>
      <c r="J9" s="80">
        <v>12</v>
      </c>
      <c r="K9" s="81">
        <v>1154.4000000000001</v>
      </c>
      <c r="L9" s="82">
        <v>45968</v>
      </c>
      <c r="M9" s="82">
        <v>45968</v>
      </c>
      <c r="N9" s="77">
        <v>0</v>
      </c>
      <c r="Q9" s="78"/>
      <c r="R9" s="78"/>
    </row>
    <row r="10" spans="1:18" s="77" customFormat="1" x14ac:dyDescent="0.25">
      <c r="A10" s="77">
        <v>6</v>
      </c>
      <c r="B10" s="77">
        <v>10708270178</v>
      </c>
      <c r="C10" s="77" t="s">
        <v>475</v>
      </c>
      <c r="D10" s="77" t="s">
        <v>476</v>
      </c>
      <c r="E10" s="77" t="s">
        <v>477</v>
      </c>
      <c r="F10" s="77">
        <v>1</v>
      </c>
      <c r="G10" s="77">
        <v>0</v>
      </c>
      <c r="H10" s="78" t="s">
        <v>299</v>
      </c>
      <c r="I10" s="77" t="s">
        <v>52</v>
      </c>
      <c r="J10" s="80">
        <v>8</v>
      </c>
      <c r="K10" s="81">
        <v>1536</v>
      </c>
      <c r="L10" s="82">
        <v>45988</v>
      </c>
      <c r="M10" s="82">
        <v>45988</v>
      </c>
      <c r="N10" s="77">
        <v>0</v>
      </c>
      <c r="Q10" s="78"/>
      <c r="R10" s="78"/>
    </row>
    <row r="11" spans="1:18" s="77" customFormat="1" x14ac:dyDescent="0.25">
      <c r="A11" s="77">
        <v>6</v>
      </c>
      <c r="B11" s="77">
        <v>10610747898</v>
      </c>
      <c r="C11" s="77" t="s">
        <v>472</v>
      </c>
      <c r="D11" s="77" t="s">
        <v>473</v>
      </c>
      <c r="E11" s="77" t="s">
        <v>474</v>
      </c>
      <c r="F11" s="77">
        <v>1</v>
      </c>
      <c r="G11" s="77">
        <v>0</v>
      </c>
      <c r="H11" s="78" t="s">
        <v>299</v>
      </c>
      <c r="I11" s="77" t="s">
        <v>52</v>
      </c>
      <c r="J11" s="80">
        <v>15</v>
      </c>
      <c r="K11" s="81">
        <v>1600</v>
      </c>
      <c r="L11" s="82">
        <v>45988</v>
      </c>
      <c r="M11" s="82">
        <v>45988</v>
      </c>
      <c r="N11" s="77">
        <v>0</v>
      </c>
      <c r="Q11" s="78"/>
      <c r="R11" s="78"/>
    </row>
    <row r="12" spans="1:18" s="77" customFormat="1" x14ac:dyDescent="0.25">
      <c r="A12" s="77">
        <v>6</v>
      </c>
      <c r="B12" s="77">
        <v>10609804691</v>
      </c>
      <c r="C12" s="77" t="s">
        <v>478</v>
      </c>
      <c r="D12" s="77" t="s">
        <v>479</v>
      </c>
      <c r="E12" s="77" t="s">
        <v>480</v>
      </c>
      <c r="F12" s="77">
        <v>1</v>
      </c>
      <c r="G12" s="77">
        <v>0</v>
      </c>
      <c r="H12" s="78" t="s">
        <v>299</v>
      </c>
      <c r="I12" s="77" t="s">
        <v>52</v>
      </c>
      <c r="J12" s="80">
        <v>1</v>
      </c>
      <c r="K12" s="81">
        <v>1600</v>
      </c>
      <c r="L12" s="82">
        <v>45988</v>
      </c>
      <c r="M12" s="82">
        <v>45988</v>
      </c>
      <c r="N12" s="77">
        <v>0</v>
      </c>
      <c r="Q12" s="78"/>
      <c r="R12" s="78"/>
    </row>
    <row r="13" spans="1:18" s="77" customFormat="1" x14ac:dyDescent="0.25">
      <c r="A13" s="77">
        <v>6</v>
      </c>
      <c r="B13" s="77">
        <v>10028491005</v>
      </c>
      <c r="C13" s="77" t="s">
        <v>463</v>
      </c>
      <c r="D13" s="77" t="s">
        <v>464</v>
      </c>
      <c r="E13" s="77" t="s">
        <v>465</v>
      </c>
      <c r="F13" s="77">
        <v>1</v>
      </c>
      <c r="G13" s="77">
        <v>0</v>
      </c>
      <c r="H13" s="78" t="s">
        <v>299</v>
      </c>
      <c r="I13" s="77" t="s">
        <v>52</v>
      </c>
      <c r="J13" s="80">
        <v>112</v>
      </c>
      <c r="K13" s="81">
        <v>250</v>
      </c>
      <c r="L13" s="82">
        <v>45983</v>
      </c>
      <c r="M13" s="82">
        <v>45983</v>
      </c>
      <c r="N13" s="77">
        <v>0</v>
      </c>
      <c r="Q13" s="78"/>
      <c r="R13" s="78"/>
    </row>
    <row r="14" spans="1:18" s="77" customFormat="1" x14ac:dyDescent="0.25">
      <c r="A14" s="77">
        <v>6</v>
      </c>
      <c r="B14" s="77">
        <v>10764346411</v>
      </c>
      <c r="C14" s="77" t="s">
        <v>428</v>
      </c>
      <c r="D14" s="77" t="s">
        <v>429</v>
      </c>
      <c r="E14" s="77" t="s">
        <v>430</v>
      </c>
      <c r="F14" s="77">
        <v>1</v>
      </c>
      <c r="G14" s="77">
        <v>0</v>
      </c>
      <c r="H14" s="78" t="s">
        <v>299</v>
      </c>
      <c r="I14" s="77" t="s">
        <v>52</v>
      </c>
      <c r="J14" s="80">
        <v>4</v>
      </c>
      <c r="K14" s="81">
        <v>1160</v>
      </c>
      <c r="L14" s="82">
        <v>45964</v>
      </c>
      <c r="M14" s="82">
        <v>45964</v>
      </c>
      <c r="N14" s="77">
        <v>0</v>
      </c>
      <c r="Q14" s="78"/>
      <c r="R14" s="78"/>
    </row>
    <row r="15" spans="1:18" s="77" customFormat="1" x14ac:dyDescent="0.25">
      <c r="A15" s="77">
        <v>6</v>
      </c>
      <c r="B15" s="77">
        <v>10764346411</v>
      </c>
      <c r="C15" s="77" t="s">
        <v>428</v>
      </c>
      <c r="D15" s="77" t="s">
        <v>429</v>
      </c>
      <c r="E15" s="77" t="s">
        <v>430</v>
      </c>
      <c r="F15" s="77">
        <v>1</v>
      </c>
      <c r="G15" s="77">
        <v>0</v>
      </c>
      <c r="H15" s="78" t="s">
        <v>299</v>
      </c>
      <c r="I15" s="77" t="s">
        <v>52</v>
      </c>
      <c r="J15" s="80">
        <v>5</v>
      </c>
      <c r="K15" s="81">
        <v>8</v>
      </c>
      <c r="L15" s="82">
        <v>45968</v>
      </c>
      <c r="M15" s="82">
        <v>45968</v>
      </c>
      <c r="N15" s="77">
        <v>0</v>
      </c>
      <c r="Q15" s="78"/>
      <c r="R15" s="78"/>
    </row>
    <row r="16" spans="1:18" s="77" customFormat="1" x14ac:dyDescent="0.25">
      <c r="A16" s="77">
        <v>6</v>
      </c>
      <c r="B16" s="77">
        <v>10764346411</v>
      </c>
      <c r="C16" s="77" t="s">
        <v>428</v>
      </c>
      <c r="D16" s="77" t="s">
        <v>429</v>
      </c>
      <c r="E16" s="77" t="s">
        <v>430</v>
      </c>
      <c r="F16" s="77">
        <v>1</v>
      </c>
      <c r="G16" s="77">
        <v>0</v>
      </c>
      <c r="H16" s="78" t="s">
        <v>299</v>
      </c>
      <c r="I16" s="77" t="s">
        <v>52</v>
      </c>
      <c r="J16" s="80">
        <v>6</v>
      </c>
      <c r="K16" s="81">
        <v>8</v>
      </c>
      <c r="L16" s="82">
        <v>45969</v>
      </c>
      <c r="M16" s="82">
        <v>45969</v>
      </c>
      <c r="N16" s="77">
        <v>0</v>
      </c>
      <c r="Q16" s="78"/>
      <c r="R16" s="78"/>
    </row>
    <row r="17" spans="1:18" s="77" customFormat="1" x14ac:dyDescent="0.25">
      <c r="A17" s="77">
        <v>6</v>
      </c>
      <c r="B17" s="77">
        <v>15615068940</v>
      </c>
      <c r="C17" s="77" t="s">
        <v>481</v>
      </c>
      <c r="D17" s="77" t="s">
        <v>482</v>
      </c>
      <c r="E17" s="77" t="s">
        <v>483</v>
      </c>
      <c r="F17" s="77">
        <v>1</v>
      </c>
      <c r="G17" s="77">
        <v>0</v>
      </c>
      <c r="H17" s="78" t="s">
        <v>299</v>
      </c>
      <c r="I17" s="77" t="s">
        <v>52</v>
      </c>
      <c r="J17" s="80">
        <v>1</v>
      </c>
      <c r="K17" s="81">
        <v>1716.77</v>
      </c>
      <c r="L17" s="82">
        <v>45988</v>
      </c>
      <c r="M17" s="82">
        <v>45988</v>
      </c>
      <c r="N17" s="77">
        <v>0</v>
      </c>
      <c r="Q17" s="78"/>
      <c r="R17" s="78"/>
    </row>
    <row r="18" spans="1:18" s="77" customFormat="1" x14ac:dyDescent="0.25">
      <c r="A18" s="77">
        <v>6</v>
      </c>
      <c r="B18" s="77">
        <v>10465760112</v>
      </c>
      <c r="C18" s="77" t="s">
        <v>348</v>
      </c>
      <c r="D18" s="77" t="s">
        <v>349</v>
      </c>
      <c r="E18" s="77" t="s">
        <v>350</v>
      </c>
      <c r="F18" s="77">
        <v>1</v>
      </c>
      <c r="G18" s="77">
        <v>0</v>
      </c>
      <c r="H18" s="78" t="s">
        <v>299</v>
      </c>
      <c r="I18" s="77" t="s">
        <v>52</v>
      </c>
      <c r="J18" s="80">
        <v>89</v>
      </c>
      <c r="K18" s="81">
        <v>6521.74</v>
      </c>
      <c r="L18" s="82">
        <v>45964</v>
      </c>
      <c r="M18" s="82">
        <v>45964</v>
      </c>
      <c r="N18" s="77">
        <v>1</v>
      </c>
      <c r="Q18" s="78"/>
      <c r="R18" s="78"/>
    </row>
    <row r="19" spans="1:18" s="77" customFormat="1" x14ac:dyDescent="0.25">
      <c r="A19" s="77">
        <v>6</v>
      </c>
      <c r="B19" s="77">
        <v>10465760112</v>
      </c>
      <c r="C19" s="77" t="s">
        <v>348</v>
      </c>
      <c r="D19" s="77" t="s">
        <v>349</v>
      </c>
      <c r="E19" s="77" t="s">
        <v>350</v>
      </c>
      <c r="F19" s="77">
        <v>1</v>
      </c>
      <c r="G19" s="77">
        <v>0</v>
      </c>
      <c r="H19" s="78" t="s">
        <v>299</v>
      </c>
      <c r="I19" s="77" t="s">
        <v>52</v>
      </c>
      <c r="J19" s="80">
        <v>90</v>
      </c>
      <c r="K19" s="81">
        <v>6521.74</v>
      </c>
      <c r="L19" s="82">
        <v>45990</v>
      </c>
      <c r="M19" s="82">
        <v>45990</v>
      </c>
      <c r="N19" s="77">
        <v>1</v>
      </c>
      <c r="Q19" s="78"/>
      <c r="R19" s="78"/>
    </row>
    <row r="20" spans="1:18" s="77" customFormat="1" x14ac:dyDescent="0.25">
      <c r="A20" s="77">
        <v>6</v>
      </c>
      <c r="B20" s="77">
        <v>10095678403</v>
      </c>
      <c r="C20" s="77" t="s">
        <v>498</v>
      </c>
      <c r="D20" s="77" t="s">
        <v>347</v>
      </c>
      <c r="E20" s="77" t="s">
        <v>499</v>
      </c>
      <c r="F20" s="77">
        <v>1</v>
      </c>
      <c r="G20" s="77">
        <v>0</v>
      </c>
      <c r="H20" s="78" t="s">
        <v>299</v>
      </c>
      <c r="I20" s="77" t="s">
        <v>52</v>
      </c>
      <c r="J20" s="80">
        <v>41</v>
      </c>
      <c r="K20" s="81">
        <v>384</v>
      </c>
      <c r="L20" s="82">
        <v>45988</v>
      </c>
      <c r="M20" s="82">
        <v>45988</v>
      </c>
      <c r="N20" s="77">
        <v>0</v>
      </c>
      <c r="Q20" s="78"/>
      <c r="R20" s="78"/>
    </row>
    <row r="21" spans="1:18" s="77" customFormat="1" x14ac:dyDescent="0.25">
      <c r="A21" s="77">
        <v>6</v>
      </c>
      <c r="B21" s="77">
        <v>10711358698</v>
      </c>
      <c r="C21" s="77" t="s">
        <v>460</v>
      </c>
      <c r="D21" s="77" t="s">
        <v>461</v>
      </c>
      <c r="E21" s="77" t="s">
        <v>462</v>
      </c>
      <c r="F21" s="77">
        <v>1</v>
      </c>
      <c r="G21" s="77">
        <v>0</v>
      </c>
      <c r="H21" s="78" t="s">
        <v>299</v>
      </c>
      <c r="I21" s="77" t="s">
        <v>52</v>
      </c>
      <c r="J21" s="80">
        <v>21</v>
      </c>
      <c r="K21" s="81">
        <v>1652.28</v>
      </c>
      <c r="L21" s="82">
        <v>45981</v>
      </c>
      <c r="M21" s="82">
        <v>45981</v>
      </c>
      <c r="N21" s="77">
        <v>0</v>
      </c>
      <c r="Q21" s="78"/>
      <c r="R21" s="78"/>
    </row>
    <row r="22" spans="1:18" s="77" customFormat="1" x14ac:dyDescent="0.25">
      <c r="A22" s="77">
        <v>6</v>
      </c>
      <c r="B22" s="77">
        <v>10403973888</v>
      </c>
      <c r="C22" s="77" t="s">
        <v>492</v>
      </c>
      <c r="D22" s="77" t="s">
        <v>493</v>
      </c>
      <c r="E22" s="77" t="s">
        <v>494</v>
      </c>
      <c r="F22" s="77">
        <v>1</v>
      </c>
      <c r="G22" s="77">
        <v>0</v>
      </c>
      <c r="H22" s="78" t="s">
        <v>299</v>
      </c>
      <c r="I22" s="77" t="s">
        <v>52</v>
      </c>
      <c r="J22" s="80">
        <v>78</v>
      </c>
      <c r="K22" s="81">
        <v>9533.34</v>
      </c>
      <c r="L22" s="82">
        <v>45988</v>
      </c>
      <c r="M22" s="82">
        <v>45988</v>
      </c>
      <c r="N22" s="77">
        <v>1</v>
      </c>
      <c r="Q22" s="78"/>
      <c r="R22" s="78"/>
    </row>
    <row r="23" spans="1:18" s="77" customFormat="1" x14ac:dyDescent="0.25">
      <c r="A23" s="77">
        <v>6</v>
      </c>
      <c r="B23" s="77">
        <v>10749976387</v>
      </c>
      <c r="C23" s="77" t="s">
        <v>448</v>
      </c>
      <c r="D23" s="77" t="s">
        <v>449</v>
      </c>
      <c r="E23" s="77" t="s">
        <v>450</v>
      </c>
      <c r="F23" s="77">
        <v>1</v>
      </c>
      <c r="G23" s="77">
        <v>0</v>
      </c>
      <c r="H23" s="78" t="s">
        <v>299</v>
      </c>
      <c r="I23" s="77" t="s">
        <v>52</v>
      </c>
      <c r="J23" s="80">
        <v>2</v>
      </c>
      <c r="K23" s="81">
        <v>1183.5999999999999</v>
      </c>
      <c r="L23" s="82">
        <v>45968</v>
      </c>
      <c r="M23" s="82">
        <v>45968</v>
      </c>
      <c r="N23" s="77">
        <v>0</v>
      </c>
      <c r="Q23" s="78"/>
      <c r="R23" s="78"/>
    </row>
    <row r="24" spans="1:18" s="77" customFormat="1" x14ac:dyDescent="0.25">
      <c r="A24" s="77">
        <v>6</v>
      </c>
      <c r="B24" s="77">
        <v>10748695490</v>
      </c>
      <c r="C24" s="77" t="s">
        <v>495</v>
      </c>
      <c r="D24" s="77" t="s">
        <v>496</v>
      </c>
      <c r="E24" s="77" t="s">
        <v>497</v>
      </c>
      <c r="F24" s="77">
        <v>1</v>
      </c>
      <c r="G24" s="77">
        <v>0</v>
      </c>
      <c r="H24" s="78" t="s">
        <v>299</v>
      </c>
      <c r="I24" s="77" t="s">
        <v>52</v>
      </c>
      <c r="J24" s="80">
        <v>24</v>
      </c>
      <c r="K24" s="81">
        <v>2200</v>
      </c>
      <c r="L24" s="82">
        <v>45988</v>
      </c>
      <c r="M24" s="82">
        <v>45988</v>
      </c>
      <c r="N24" s="77">
        <v>0</v>
      </c>
      <c r="Q24" s="78"/>
      <c r="R24" s="78"/>
    </row>
    <row r="25" spans="1:18" s="77" customFormat="1" x14ac:dyDescent="0.25">
      <c r="A25" s="77">
        <v>6</v>
      </c>
      <c r="B25" s="77">
        <v>10738735779</v>
      </c>
      <c r="C25" s="77" t="s">
        <v>451</v>
      </c>
      <c r="D25" s="77" t="s">
        <v>452</v>
      </c>
      <c r="E25" s="77" t="s">
        <v>453</v>
      </c>
      <c r="F25" s="77">
        <v>1</v>
      </c>
      <c r="G25" s="77">
        <v>0</v>
      </c>
      <c r="H25" s="78" t="s">
        <v>299</v>
      </c>
      <c r="I25" s="77" t="s">
        <v>52</v>
      </c>
      <c r="J25" s="80">
        <v>4</v>
      </c>
      <c r="K25" s="81">
        <v>1228.8</v>
      </c>
      <c r="L25" s="82">
        <v>45966</v>
      </c>
      <c r="M25" s="82">
        <v>45966</v>
      </c>
      <c r="N25" s="77">
        <v>0</v>
      </c>
      <c r="Q25" s="78"/>
      <c r="R25" s="78"/>
    </row>
    <row r="26" spans="1:18" s="77" customFormat="1" x14ac:dyDescent="0.25">
      <c r="A26" s="77">
        <v>6</v>
      </c>
      <c r="B26" s="77">
        <v>10428541192</v>
      </c>
      <c r="C26" s="77" t="s">
        <v>466</v>
      </c>
      <c r="D26" s="77" t="s">
        <v>467</v>
      </c>
      <c r="E26" s="77" t="s">
        <v>468</v>
      </c>
      <c r="F26" s="77">
        <v>1</v>
      </c>
      <c r="G26" s="77">
        <v>0</v>
      </c>
      <c r="H26" s="78" t="s">
        <v>299</v>
      </c>
      <c r="I26" s="77" t="s">
        <v>52</v>
      </c>
      <c r="J26" s="80">
        <v>17</v>
      </c>
      <c r="K26" s="81">
        <v>6000</v>
      </c>
      <c r="L26" s="82">
        <v>45987</v>
      </c>
      <c r="M26" s="82">
        <v>45987</v>
      </c>
      <c r="N26" s="77">
        <v>0</v>
      </c>
      <c r="Q26" s="78"/>
      <c r="R26" s="78"/>
    </row>
    <row r="27" spans="1:18" s="77" customFormat="1" x14ac:dyDescent="0.25">
      <c r="A27" s="77">
        <v>6</v>
      </c>
      <c r="B27" s="77">
        <v>10709248699</v>
      </c>
      <c r="C27" s="77" t="s">
        <v>422</v>
      </c>
      <c r="D27" s="77" t="s">
        <v>423</v>
      </c>
      <c r="E27" s="77" t="s">
        <v>424</v>
      </c>
      <c r="F27" s="77">
        <v>1</v>
      </c>
      <c r="G27" s="77">
        <v>0</v>
      </c>
      <c r="H27" s="78" t="s">
        <v>299</v>
      </c>
      <c r="I27" s="77" t="s">
        <v>52</v>
      </c>
      <c r="J27" s="80">
        <v>3</v>
      </c>
      <c r="K27" s="81">
        <v>1298</v>
      </c>
      <c r="L27" s="82">
        <v>45964</v>
      </c>
      <c r="M27" s="82">
        <v>45964</v>
      </c>
      <c r="N27" s="77">
        <v>0</v>
      </c>
      <c r="Q27" s="78"/>
      <c r="R27" s="78"/>
    </row>
    <row r="28" spans="1:18" s="77" customFormat="1" x14ac:dyDescent="0.25">
      <c r="A28" s="77">
        <v>6</v>
      </c>
      <c r="B28" s="77">
        <v>10443302293</v>
      </c>
      <c r="C28" s="77" t="s">
        <v>425</v>
      </c>
      <c r="D28" s="77" t="s">
        <v>426</v>
      </c>
      <c r="E28" s="77" t="s">
        <v>427</v>
      </c>
      <c r="F28" s="77">
        <v>1</v>
      </c>
      <c r="G28" s="77">
        <v>0</v>
      </c>
      <c r="H28" s="78" t="s">
        <v>299</v>
      </c>
      <c r="I28" s="77" t="s">
        <v>52</v>
      </c>
      <c r="J28" s="80">
        <v>182</v>
      </c>
      <c r="K28" s="81">
        <v>720</v>
      </c>
      <c r="L28" s="82">
        <v>45964</v>
      </c>
      <c r="M28" s="82">
        <v>45964</v>
      </c>
      <c r="N28" s="77">
        <v>0</v>
      </c>
      <c r="Q28" s="78"/>
      <c r="R28" s="78"/>
    </row>
    <row r="29" spans="1:18" s="77" customFormat="1" x14ac:dyDescent="0.25">
      <c r="A29" s="77">
        <v>6</v>
      </c>
      <c r="B29" s="77">
        <v>10404180385</v>
      </c>
      <c r="C29" s="77" t="s">
        <v>431</v>
      </c>
      <c r="D29" s="77" t="s">
        <v>432</v>
      </c>
      <c r="E29" s="77" t="s">
        <v>433</v>
      </c>
      <c r="F29" s="77">
        <v>1</v>
      </c>
      <c r="G29" s="77">
        <v>0</v>
      </c>
      <c r="H29" s="78" t="s">
        <v>299</v>
      </c>
      <c r="I29" s="77" t="s">
        <v>52</v>
      </c>
      <c r="J29" s="80">
        <v>3</v>
      </c>
      <c r="K29" s="81">
        <v>1500</v>
      </c>
      <c r="L29" s="82">
        <v>45965</v>
      </c>
      <c r="M29" s="82">
        <v>45965</v>
      </c>
      <c r="N29" s="77">
        <v>0</v>
      </c>
      <c r="Q29" s="78"/>
      <c r="R29" s="78"/>
    </row>
    <row r="30" spans="1:18" s="77" customFormat="1" x14ac:dyDescent="0.25">
      <c r="A30" s="77">
        <v>6</v>
      </c>
      <c r="B30" s="77">
        <v>10404180385</v>
      </c>
      <c r="C30" s="77" t="s">
        <v>431</v>
      </c>
      <c r="D30" s="77" t="s">
        <v>432</v>
      </c>
      <c r="E30" s="77" t="s">
        <v>433</v>
      </c>
      <c r="F30" s="77">
        <v>1</v>
      </c>
      <c r="G30" s="77">
        <v>0</v>
      </c>
      <c r="H30" s="78" t="s">
        <v>299</v>
      </c>
      <c r="I30" s="77" t="s">
        <v>52</v>
      </c>
      <c r="J30" s="80">
        <v>4</v>
      </c>
      <c r="K30" s="81">
        <v>500</v>
      </c>
      <c r="L30" s="82">
        <v>45980</v>
      </c>
      <c r="M30" s="82">
        <v>45980</v>
      </c>
      <c r="N30" s="77">
        <v>0</v>
      </c>
      <c r="Q30" s="78"/>
      <c r="R30" s="78"/>
    </row>
    <row r="31" spans="1:18" s="77" customFormat="1" x14ac:dyDescent="0.25">
      <c r="A31" s="77">
        <v>6</v>
      </c>
      <c r="B31" s="77">
        <v>10437535588</v>
      </c>
      <c r="C31" s="77" t="s">
        <v>359</v>
      </c>
      <c r="D31" s="77" t="s">
        <v>360</v>
      </c>
      <c r="E31" s="77" t="s">
        <v>361</v>
      </c>
      <c r="F31" s="77">
        <v>1</v>
      </c>
      <c r="G31" s="77">
        <v>0</v>
      </c>
      <c r="H31" s="78" t="s">
        <v>299</v>
      </c>
      <c r="I31" s="77" t="s">
        <v>52</v>
      </c>
      <c r="J31" s="80">
        <v>57</v>
      </c>
      <c r="K31" s="81">
        <v>1256.67</v>
      </c>
      <c r="L31" s="82">
        <v>45988</v>
      </c>
      <c r="M31" s="82">
        <v>45988</v>
      </c>
      <c r="N31" s="77">
        <v>0</v>
      </c>
      <c r="Q31" s="78"/>
      <c r="R31" s="78"/>
    </row>
    <row r="32" spans="1:18" s="77" customFormat="1" x14ac:dyDescent="0.25">
      <c r="A32" s="77">
        <v>6</v>
      </c>
      <c r="B32" s="77">
        <v>10735249385</v>
      </c>
      <c r="C32" s="77" t="s">
        <v>416</v>
      </c>
      <c r="D32" s="77" t="s">
        <v>417</v>
      </c>
      <c r="E32" s="77" t="s">
        <v>418</v>
      </c>
      <c r="F32" s="77">
        <v>1</v>
      </c>
      <c r="G32" s="77">
        <v>0</v>
      </c>
      <c r="H32" s="78" t="s">
        <v>299</v>
      </c>
      <c r="I32" s="77" t="s">
        <v>52</v>
      </c>
      <c r="J32" s="80">
        <v>2</v>
      </c>
      <c r="K32" s="81">
        <v>1290</v>
      </c>
      <c r="L32" s="82">
        <v>45964</v>
      </c>
      <c r="M32" s="82">
        <v>45964</v>
      </c>
      <c r="N32" s="77">
        <v>0</v>
      </c>
      <c r="Q32" s="78"/>
      <c r="R32" s="78"/>
    </row>
    <row r="33" spans="1:18" s="77" customFormat="1" x14ac:dyDescent="0.25">
      <c r="A33" s="77">
        <v>6</v>
      </c>
      <c r="B33" s="77">
        <v>10735993530</v>
      </c>
      <c r="C33" s="77" t="s">
        <v>489</v>
      </c>
      <c r="D33" s="77" t="s">
        <v>490</v>
      </c>
      <c r="E33" s="77" t="s">
        <v>491</v>
      </c>
      <c r="F33" s="77">
        <v>1</v>
      </c>
      <c r="G33" s="77">
        <v>0</v>
      </c>
      <c r="H33" s="78" t="s">
        <v>299</v>
      </c>
      <c r="I33" s="77" t="s">
        <v>52</v>
      </c>
      <c r="J33" s="80">
        <v>4</v>
      </c>
      <c r="K33" s="81">
        <v>2000</v>
      </c>
      <c r="L33" s="82">
        <v>45988</v>
      </c>
      <c r="M33" s="82">
        <v>45988</v>
      </c>
      <c r="N33" s="77">
        <v>0</v>
      </c>
      <c r="Q33" s="78"/>
      <c r="R33" s="78"/>
    </row>
    <row r="34" spans="1:18" s="77" customFormat="1" x14ac:dyDescent="0.25">
      <c r="A34" s="77">
        <v>6</v>
      </c>
      <c r="B34" s="77">
        <v>10036780113</v>
      </c>
      <c r="C34" s="77" t="s">
        <v>506</v>
      </c>
      <c r="D34" s="77" t="s">
        <v>507</v>
      </c>
      <c r="E34" s="77" t="s">
        <v>508</v>
      </c>
      <c r="F34" s="77">
        <v>1</v>
      </c>
      <c r="G34" s="77">
        <v>0</v>
      </c>
      <c r="H34" s="78" t="s">
        <v>299</v>
      </c>
      <c r="I34" s="77" t="s">
        <v>52</v>
      </c>
      <c r="J34" s="80">
        <v>14</v>
      </c>
      <c r="K34" s="81">
        <v>271.74</v>
      </c>
      <c r="L34" s="82">
        <v>45989</v>
      </c>
      <c r="M34" s="82">
        <v>45989</v>
      </c>
      <c r="N34" s="77">
        <v>1</v>
      </c>
      <c r="Q34" s="78"/>
      <c r="R34" s="78"/>
    </row>
    <row r="35" spans="1:18" s="77" customFormat="1" x14ac:dyDescent="0.25">
      <c r="A35" s="77">
        <v>6</v>
      </c>
      <c r="B35" s="77">
        <v>10431907076</v>
      </c>
      <c r="C35" s="77" t="s">
        <v>503</v>
      </c>
      <c r="D35" s="77" t="s">
        <v>504</v>
      </c>
      <c r="E35" s="77" t="s">
        <v>505</v>
      </c>
      <c r="F35" s="77">
        <v>1</v>
      </c>
      <c r="G35" s="77">
        <v>0</v>
      </c>
      <c r="H35" s="78" t="s">
        <v>299</v>
      </c>
      <c r="I35" s="77" t="s">
        <v>52</v>
      </c>
      <c r="J35" s="80">
        <v>16</v>
      </c>
      <c r="K35" s="81">
        <v>955.5</v>
      </c>
      <c r="L35" s="82">
        <v>45989</v>
      </c>
      <c r="M35" s="82">
        <v>45989</v>
      </c>
      <c r="N35" s="77">
        <v>0</v>
      </c>
      <c r="Q35" s="78"/>
      <c r="R35" s="78"/>
    </row>
    <row r="36" spans="1:18" s="77" customFormat="1" x14ac:dyDescent="0.25">
      <c r="A36" s="77">
        <v>6</v>
      </c>
      <c r="B36" s="77">
        <v>10736056246</v>
      </c>
      <c r="C36" s="77" t="s">
        <v>419</v>
      </c>
      <c r="D36" s="77" t="s">
        <v>420</v>
      </c>
      <c r="E36" s="77" t="s">
        <v>421</v>
      </c>
      <c r="F36" s="77">
        <v>1</v>
      </c>
      <c r="G36" s="77">
        <v>0</v>
      </c>
      <c r="H36" s="78" t="s">
        <v>299</v>
      </c>
      <c r="I36" s="77" t="s">
        <v>52</v>
      </c>
      <c r="J36" s="80">
        <v>4</v>
      </c>
      <c r="K36" s="81">
        <v>1152</v>
      </c>
      <c r="L36" s="82">
        <v>45964</v>
      </c>
      <c r="M36" s="82">
        <v>45964</v>
      </c>
      <c r="N36" s="77">
        <v>0</v>
      </c>
      <c r="Q36" s="78"/>
      <c r="R36" s="78"/>
    </row>
    <row r="37" spans="1:18" s="77" customFormat="1" x14ac:dyDescent="0.25">
      <c r="A37" s="77">
        <v>6</v>
      </c>
      <c r="B37" s="77">
        <v>10622418661</v>
      </c>
      <c r="C37" s="77" t="s">
        <v>439</v>
      </c>
      <c r="D37" s="77" t="s">
        <v>440</v>
      </c>
      <c r="E37" s="77" t="s">
        <v>441</v>
      </c>
      <c r="F37" s="77">
        <v>1</v>
      </c>
      <c r="G37" s="77">
        <v>0</v>
      </c>
      <c r="H37" s="78" t="s">
        <v>299</v>
      </c>
      <c r="I37" s="77" t="s">
        <v>52</v>
      </c>
      <c r="J37" s="80">
        <v>1</v>
      </c>
      <c r="K37" s="81">
        <v>1274</v>
      </c>
      <c r="L37" s="82">
        <v>45964</v>
      </c>
      <c r="M37" s="82">
        <v>45964</v>
      </c>
      <c r="N37" s="77">
        <v>0</v>
      </c>
      <c r="Q37" s="78"/>
      <c r="R37" s="78"/>
    </row>
    <row r="38" spans="1:18" s="77" customFormat="1" x14ac:dyDescent="0.25">
      <c r="A38" s="77">
        <v>6</v>
      </c>
      <c r="B38" s="77">
        <v>10732592852</v>
      </c>
      <c r="C38" s="77" t="s">
        <v>439</v>
      </c>
      <c r="D38" s="77" t="s">
        <v>484</v>
      </c>
      <c r="E38" s="77" t="s">
        <v>485</v>
      </c>
      <c r="F38" s="77">
        <v>1</v>
      </c>
      <c r="G38" s="77">
        <v>0</v>
      </c>
      <c r="H38" s="78" t="s">
        <v>299</v>
      </c>
      <c r="I38" s="77" t="s">
        <v>52</v>
      </c>
      <c r="J38" s="80">
        <v>21</v>
      </c>
      <c r="K38" s="81">
        <v>1534.77</v>
      </c>
      <c r="L38" s="82">
        <v>45988</v>
      </c>
      <c r="M38" s="82">
        <v>45988</v>
      </c>
      <c r="N38" s="77">
        <v>0</v>
      </c>
      <c r="Q38" s="78"/>
      <c r="R38" s="78"/>
    </row>
    <row r="39" spans="1:18" s="77" customFormat="1" x14ac:dyDescent="0.25">
      <c r="A39" s="77">
        <v>6</v>
      </c>
      <c r="B39" s="77">
        <v>10617578846</v>
      </c>
      <c r="C39" s="77" t="s">
        <v>437</v>
      </c>
      <c r="D39" s="77" t="s">
        <v>414</v>
      </c>
      <c r="E39" s="77" t="s">
        <v>438</v>
      </c>
      <c r="F39" s="77">
        <v>1</v>
      </c>
      <c r="G39" s="77">
        <v>0</v>
      </c>
      <c r="H39" s="78" t="s">
        <v>299</v>
      </c>
      <c r="I39" s="77" t="s">
        <v>52</v>
      </c>
      <c r="J39" s="80">
        <v>5</v>
      </c>
      <c r="K39" s="81">
        <v>947</v>
      </c>
      <c r="L39" s="82">
        <v>45964</v>
      </c>
      <c r="M39" s="82">
        <v>45964</v>
      </c>
      <c r="N39" s="77">
        <v>0</v>
      </c>
      <c r="Q39" s="78"/>
      <c r="R39" s="78"/>
    </row>
    <row r="40" spans="1:18" s="77" customFormat="1" x14ac:dyDescent="0.25">
      <c r="A40" s="77">
        <v>6</v>
      </c>
      <c r="B40" s="77">
        <v>10419480334</v>
      </c>
      <c r="C40" s="77" t="s">
        <v>500</v>
      </c>
      <c r="D40" s="77" t="s">
        <v>501</v>
      </c>
      <c r="E40" s="77" t="s">
        <v>502</v>
      </c>
      <c r="F40" s="77">
        <v>1</v>
      </c>
      <c r="G40" s="77">
        <v>0</v>
      </c>
      <c r="H40" s="78" t="s">
        <v>299</v>
      </c>
      <c r="I40" s="77" t="s">
        <v>52</v>
      </c>
      <c r="J40" s="80">
        <v>165</v>
      </c>
      <c r="K40" s="81">
        <v>3000</v>
      </c>
      <c r="L40" s="82">
        <v>45989</v>
      </c>
      <c r="M40" s="82">
        <v>45989</v>
      </c>
      <c r="N40" s="77">
        <v>1</v>
      </c>
      <c r="Q40" s="78"/>
      <c r="R40" s="78"/>
    </row>
    <row r="41" spans="1:18" s="77" customFormat="1" x14ac:dyDescent="0.25">
      <c r="A41" s="77">
        <v>6</v>
      </c>
      <c r="B41" s="77">
        <v>10473379975</v>
      </c>
      <c r="C41" s="77" t="s">
        <v>454</v>
      </c>
      <c r="D41" s="77" t="s">
        <v>455</v>
      </c>
      <c r="E41" s="77" t="s">
        <v>456</v>
      </c>
      <c r="F41" s="77">
        <v>1</v>
      </c>
      <c r="G41" s="77">
        <v>0</v>
      </c>
      <c r="H41" s="78" t="s">
        <v>299</v>
      </c>
      <c r="I41" s="77" t="s">
        <v>52</v>
      </c>
      <c r="J41" s="80">
        <v>28</v>
      </c>
      <c r="K41" s="81">
        <v>5000</v>
      </c>
      <c r="L41" s="82">
        <v>45980</v>
      </c>
      <c r="M41" s="82">
        <v>45980</v>
      </c>
      <c r="N41" s="77">
        <v>0</v>
      </c>
      <c r="Q41" s="78"/>
      <c r="R41" s="78"/>
    </row>
    <row r="42" spans="1:18" s="77" customFormat="1" x14ac:dyDescent="0.25">
      <c r="A42" s="77">
        <v>6</v>
      </c>
      <c r="B42" s="77">
        <v>10738006599</v>
      </c>
      <c r="C42" s="77" t="s">
        <v>413</v>
      </c>
      <c r="D42" s="77" t="s">
        <v>414</v>
      </c>
      <c r="E42" s="77" t="s">
        <v>415</v>
      </c>
      <c r="F42" s="77">
        <v>1</v>
      </c>
      <c r="G42" s="77">
        <v>0</v>
      </c>
      <c r="H42" s="78" t="s">
        <v>299</v>
      </c>
      <c r="I42" s="77" t="s">
        <v>52</v>
      </c>
      <c r="J42" s="80">
        <v>4</v>
      </c>
      <c r="K42" s="81">
        <v>1298</v>
      </c>
      <c r="L42" s="82">
        <v>45964</v>
      </c>
      <c r="M42" s="82">
        <v>45964</v>
      </c>
      <c r="N42" s="77">
        <v>0</v>
      </c>
      <c r="Q42" s="78"/>
      <c r="R42" s="78"/>
    </row>
    <row r="43" spans="1:18" s="77" customFormat="1" x14ac:dyDescent="0.25">
      <c r="A43" s="77">
        <v>6</v>
      </c>
      <c r="B43" s="77">
        <v>10181150373</v>
      </c>
      <c r="C43" s="77" t="s">
        <v>457</v>
      </c>
      <c r="D43" s="77" t="s">
        <v>458</v>
      </c>
      <c r="E43" s="77" t="s">
        <v>459</v>
      </c>
      <c r="F43" s="77">
        <v>1</v>
      </c>
      <c r="G43" s="77">
        <v>0</v>
      </c>
      <c r="H43" s="78" t="s">
        <v>299</v>
      </c>
      <c r="I43" s="77" t="s">
        <v>52</v>
      </c>
      <c r="J43" s="80">
        <v>175</v>
      </c>
      <c r="K43" s="81">
        <v>500</v>
      </c>
      <c r="L43" s="82">
        <v>45981</v>
      </c>
      <c r="M43" s="82">
        <v>45981</v>
      </c>
      <c r="N43" s="77">
        <v>1</v>
      </c>
      <c r="Q43" s="78"/>
      <c r="R43" s="78"/>
    </row>
    <row r="44" spans="1:18" s="83" customFormat="1" x14ac:dyDescent="0.25">
      <c r="A44" s="83">
        <v>6</v>
      </c>
      <c r="B44" s="83">
        <v>10736777768</v>
      </c>
      <c r="C44" s="83" t="s">
        <v>486</v>
      </c>
      <c r="D44" s="83" t="s">
        <v>487</v>
      </c>
      <c r="E44" s="83" t="s">
        <v>488</v>
      </c>
      <c r="F44" s="83">
        <v>1</v>
      </c>
      <c r="G44" s="83">
        <v>0</v>
      </c>
      <c r="H44" s="84" t="s">
        <v>299</v>
      </c>
      <c r="I44" s="83" t="s">
        <v>52</v>
      </c>
      <c r="J44" s="85">
        <v>1</v>
      </c>
      <c r="K44" s="86">
        <v>1879.1</v>
      </c>
      <c r="L44" s="87">
        <v>45988</v>
      </c>
      <c r="M44" s="87">
        <v>45988</v>
      </c>
      <c r="N44" s="83">
        <v>0</v>
      </c>
      <c r="Q44" s="84"/>
      <c r="R44" s="84"/>
    </row>
    <row r="45" spans="1:18" s="83" customFormat="1" x14ac:dyDescent="0.25">
      <c r="A45" s="83">
        <v>6</v>
      </c>
      <c r="B45" s="83">
        <v>10735788162</v>
      </c>
      <c r="C45" s="83" t="s">
        <v>442</v>
      </c>
      <c r="D45" s="83" t="s">
        <v>443</v>
      </c>
      <c r="E45" s="83" t="s">
        <v>444</v>
      </c>
      <c r="F45" s="83">
        <v>1</v>
      </c>
      <c r="G45" s="83">
        <v>0</v>
      </c>
      <c r="H45" s="84" t="s">
        <v>299</v>
      </c>
      <c r="I45" s="83" t="s">
        <v>52</v>
      </c>
      <c r="J45" s="85">
        <v>1</v>
      </c>
      <c r="K45" s="86">
        <v>922</v>
      </c>
      <c r="L45" s="87">
        <v>45965</v>
      </c>
      <c r="M45" s="87">
        <v>45965</v>
      </c>
      <c r="N45" s="83">
        <v>0</v>
      </c>
      <c r="Q45" s="84"/>
      <c r="R45" s="84"/>
    </row>
  </sheetData>
  <autoFilter ref="A6:R45" xr:uid="{00000000-0009-0000-0000-000002000000}">
    <sortState xmlns:xlrd2="http://schemas.microsoft.com/office/spreadsheetml/2017/richdata2" ref="A7:R45">
      <sortCondition ref="C6"/>
    </sortState>
  </autoFilter>
  <mergeCells count="3">
    <mergeCell ref="C5:G5"/>
    <mergeCell ref="H5:P5"/>
    <mergeCell ref="B2:E2"/>
  </mergeCells>
  <phoneticPr fontId="13" type="noConversion"/>
  <pageMargins left="0.7" right="0.7" top="0.75" bottom="0.75" header="0.3" footer="0.3"/>
  <pageSetup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la22"/>
  <dimension ref="A1:B187"/>
  <sheetViews>
    <sheetView workbookViewId="0">
      <selection activeCell="B9" sqref="B9"/>
    </sheetView>
  </sheetViews>
  <sheetFormatPr baseColWidth="10" defaultRowHeight="15" x14ac:dyDescent="0.25"/>
  <cols>
    <col min="2" max="2" width="116.85546875" bestFit="1" customWidth="1"/>
  </cols>
  <sheetData>
    <row r="1" spans="1:2" x14ac:dyDescent="0.25">
      <c r="A1" s="1" t="s">
        <v>189</v>
      </c>
      <c r="B1" s="1"/>
    </row>
    <row r="3" spans="1:2" x14ac:dyDescent="0.25">
      <c r="A3" s="1" t="s">
        <v>61</v>
      </c>
      <c r="B3" s="1" t="s">
        <v>62</v>
      </c>
    </row>
    <row r="4" spans="1:2" x14ac:dyDescent="0.25">
      <c r="A4">
        <v>101</v>
      </c>
      <c r="B4" t="s">
        <v>63</v>
      </c>
    </row>
    <row r="5" spans="1:2" x14ac:dyDescent="0.25">
      <c r="A5">
        <v>102</v>
      </c>
      <c r="B5" t="s">
        <v>64</v>
      </c>
    </row>
    <row r="6" spans="1:2" x14ac:dyDescent="0.25">
      <c r="A6">
        <v>103</v>
      </c>
      <c r="B6" t="s">
        <v>65</v>
      </c>
    </row>
    <row r="7" spans="1:2" x14ac:dyDescent="0.25">
      <c r="A7">
        <v>104</v>
      </c>
      <c r="B7" t="s">
        <v>66</v>
      </c>
    </row>
    <row r="8" spans="1:2" x14ac:dyDescent="0.25">
      <c r="A8">
        <v>105</v>
      </c>
      <c r="B8" t="s">
        <v>67</v>
      </c>
    </row>
    <row r="9" spans="1:2" x14ac:dyDescent="0.25">
      <c r="A9">
        <v>106</v>
      </c>
      <c r="B9" t="s">
        <v>68</v>
      </c>
    </row>
    <row r="10" spans="1:2" x14ac:dyDescent="0.25">
      <c r="A10">
        <v>107</v>
      </c>
      <c r="B10" t="s">
        <v>69</v>
      </c>
    </row>
    <row r="11" spans="1:2" x14ac:dyDescent="0.25">
      <c r="A11">
        <v>108</v>
      </c>
      <c r="B11" t="s">
        <v>70</v>
      </c>
    </row>
    <row r="12" spans="1:2" x14ac:dyDescent="0.25">
      <c r="A12">
        <v>109</v>
      </c>
      <c r="B12" t="s">
        <v>71</v>
      </c>
    </row>
    <row r="13" spans="1:2" x14ac:dyDescent="0.25">
      <c r="A13">
        <v>110</v>
      </c>
      <c r="B13" t="s">
        <v>72</v>
      </c>
    </row>
    <row r="14" spans="1:2" x14ac:dyDescent="0.25">
      <c r="A14">
        <v>111</v>
      </c>
      <c r="B14" t="s">
        <v>73</v>
      </c>
    </row>
    <row r="15" spans="1:2" x14ac:dyDescent="0.25">
      <c r="A15">
        <v>112</v>
      </c>
      <c r="B15" t="s">
        <v>74</v>
      </c>
    </row>
    <row r="16" spans="1:2" x14ac:dyDescent="0.25">
      <c r="A16">
        <v>113</v>
      </c>
      <c r="B16" t="s">
        <v>75</v>
      </c>
    </row>
    <row r="17" spans="1:2" x14ac:dyDescent="0.25">
      <c r="A17">
        <v>114</v>
      </c>
      <c r="B17" t="s">
        <v>16</v>
      </c>
    </row>
    <row r="18" spans="1:2" x14ac:dyDescent="0.25">
      <c r="A18">
        <v>115</v>
      </c>
      <c r="B18" t="s">
        <v>76</v>
      </c>
    </row>
    <row r="19" spans="1:2" x14ac:dyDescent="0.25">
      <c r="A19">
        <v>116</v>
      </c>
      <c r="B19" t="s">
        <v>77</v>
      </c>
    </row>
    <row r="20" spans="1:2" x14ac:dyDescent="0.25">
      <c r="A20">
        <v>117</v>
      </c>
      <c r="B20" t="s">
        <v>78</v>
      </c>
    </row>
    <row r="21" spans="1:2" x14ac:dyDescent="0.25">
      <c r="A21">
        <v>118</v>
      </c>
      <c r="B21" t="s">
        <v>79</v>
      </c>
    </row>
    <row r="22" spans="1:2" x14ac:dyDescent="0.25">
      <c r="A22">
        <v>119</v>
      </c>
      <c r="B22" t="s">
        <v>80</v>
      </c>
    </row>
    <row r="23" spans="1:2" x14ac:dyDescent="0.25">
      <c r="A23">
        <v>120</v>
      </c>
      <c r="B23" t="s">
        <v>81</v>
      </c>
    </row>
    <row r="24" spans="1:2" x14ac:dyDescent="0.25">
      <c r="A24">
        <v>121</v>
      </c>
      <c r="B24" t="s">
        <v>82</v>
      </c>
    </row>
    <row r="25" spans="1:2" x14ac:dyDescent="0.25">
      <c r="A25">
        <v>122</v>
      </c>
      <c r="B25" t="s">
        <v>83</v>
      </c>
    </row>
    <row r="26" spans="1:2" x14ac:dyDescent="0.25">
      <c r="A26">
        <v>123</v>
      </c>
      <c r="B26" t="s">
        <v>84</v>
      </c>
    </row>
    <row r="27" spans="1:2" x14ac:dyDescent="0.25">
      <c r="A27">
        <v>124</v>
      </c>
      <c r="B27" t="s">
        <v>85</v>
      </c>
    </row>
    <row r="28" spans="1:2" x14ac:dyDescent="0.25">
      <c r="A28">
        <v>125</v>
      </c>
      <c r="B28" t="s">
        <v>86</v>
      </c>
    </row>
    <row r="29" spans="1:2" x14ac:dyDescent="0.25">
      <c r="A29">
        <v>126</v>
      </c>
      <c r="B29" t="s">
        <v>87</v>
      </c>
    </row>
    <row r="30" spans="1:2" x14ac:dyDescent="0.25">
      <c r="A30">
        <v>127</v>
      </c>
      <c r="B30" t="s">
        <v>88</v>
      </c>
    </row>
    <row r="31" spans="1:2" x14ac:dyDescent="0.25">
      <c r="A31">
        <v>128</v>
      </c>
      <c r="B31" t="s">
        <v>89</v>
      </c>
    </row>
    <row r="32" spans="1:2" x14ac:dyDescent="0.25">
      <c r="A32">
        <v>201</v>
      </c>
      <c r="B32" t="s">
        <v>90</v>
      </c>
    </row>
    <row r="33" spans="1:2" x14ac:dyDescent="0.25">
      <c r="A33">
        <v>202</v>
      </c>
      <c r="B33" t="s">
        <v>91</v>
      </c>
    </row>
    <row r="34" spans="1:2" x14ac:dyDescent="0.25">
      <c r="A34">
        <v>203</v>
      </c>
      <c r="B34" t="s">
        <v>92</v>
      </c>
    </row>
    <row r="35" spans="1:2" x14ac:dyDescent="0.25">
      <c r="A35">
        <v>204</v>
      </c>
      <c r="B35" t="s">
        <v>93</v>
      </c>
    </row>
    <row r="36" spans="1:2" x14ac:dyDescent="0.25">
      <c r="A36">
        <v>205</v>
      </c>
      <c r="B36" t="s">
        <v>94</v>
      </c>
    </row>
    <row r="37" spans="1:2" x14ac:dyDescent="0.25">
      <c r="A37">
        <v>206</v>
      </c>
      <c r="B37" t="s">
        <v>95</v>
      </c>
    </row>
    <row r="38" spans="1:2" x14ac:dyDescent="0.25">
      <c r="A38">
        <v>207</v>
      </c>
      <c r="B38" t="s">
        <v>96</v>
      </c>
    </row>
    <row r="39" spans="1:2" x14ac:dyDescent="0.25">
      <c r="A39">
        <v>208</v>
      </c>
      <c r="B39" t="s">
        <v>97</v>
      </c>
    </row>
    <row r="40" spans="1:2" x14ac:dyDescent="0.25">
      <c r="A40">
        <v>209</v>
      </c>
      <c r="B40" t="s">
        <v>98</v>
      </c>
    </row>
    <row r="41" spans="1:2" x14ac:dyDescent="0.25">
      <c r="A41">
        <v>210</v>
      </c>
      <c r="B41" t="s">
        <v>99</v>
      </c>
    </row>
    <row r="42" spans="1:2" x14ac:dyDescent="0.25">
      <c r="A42">
        <v>211</v>
      </c>
      <c r="B42" t="s">
        <v>100</v>
      </c>
    </row>
    <row r="43" spans="1:2" x14ac:dyDescent="0.25">
      <c r="A43">
        <v>212</v>
      </c>
      <c r="B43" t="s">
        <v>101</v>
      </c>
    </row>
    <row r="44" spans="1:2" x14ac:dyDescent="0.25">
      <c r="A44">
        <v>213</v>
      </c>
      <c r="B44" t="s">
        <v>102</v>
      </c>
    </row>
    <row r="45" spans="1:2" x14ac:dyDescent="0.25">
      <c r="A45">
        <v>214</v>
      </c>
      <c r="B45" t="s">
        <v>103</v>
      </c>
    </row>
    <row r="46" spans="1:2" x14ac:dyDescent="0.25">
      <c r="A46">
        <v>301</v>
      </c>
      <c r="B46" t="s">
        <v>104</v>
      </c>
    </row>
    <row r="47" spans="1:2" x14ac:dyDescent="0.25">
      <c r="A47">
        <v>302</v>
      </c>
      <c r="B47" t="s">
        <v>105</v>
      </c>
    </row>
    <row r="48" spans="1:2" x14ac:dyDescent="0.25">
      <c r="A48">
        <v>303</v>
      </c>
      <c r="B48" t="s">
        <v>106</v>
      </c>
    </row>
    <row r="49" spans="1:2" x14ac:dyDescent="0.25">
      <c r="A49">
        <v>304</v>
      </c>
      <c r="B49" t="s">
        <v>107</v>
      </c>
    </row>
    <row r="50" spans="1:2" x14ac:dyDescent="0.25">
      <c r="A50">
        <v>305</v>
      </c>
      <c r="B50" t="s">
        <v>108</v>
      </c>
    </row>
    <row r="51" spans="1:2" x14ac:dyDescent="0.25">
      <c r="A51">
        <v>306</v>
      </c>
      <c r="B51" t="s">
        <v>20</v>
      </c>
    </row>
    <row r="52" spans="1:2" x14ac:dyDescent="0.25">
      <c r="A52">
        <v>307</v>
      </c>
      <c r="B52" t="s">
        <v>109</v>
      </c>
    </row>
    <row r="53" spans="1:2" x14ac:dyDescent="0.25">
      <c r="A53">
        <v>308</v>
      </c>
      <c r="B53" t="s">
        <v>110</v>
      </c>
    </row>
    <row r="54" spans="1:2" x14ac:dyDescent="0.25">
      <c r="A54">
        <v>309</v>
      </c>
      <c r="B54" t="s">
        <v>111</v>
      </c>
    </row>
    <row r="55" spans="1:2" x14ac:dyDescent="0.25">
      <c r="A55">
        <v>310</v>
      </c>
      <c r="B55" t="s">
        <v>112</v>
      </c>
    </row>
    <row r="56" spans="1:2" x14ac:dyDescent="0.25">
      <c r="A56">
        <v>311</v>
      </c>
      <c r="B56" t="s">
        <v>113</v>
      </c>
    </row>
    <row r="57" spans="1:2" x14ac:dyDescent="0.25">
      <c r="A57">
        <v>312</v>
      </c>
      <c r="B57" t="s">
        <v>114</v>
      </c>
    </row>
    <row r="58" spans="1:2" x14ac:dyDescent="0.25">
      <c r="A58">
        <v>313</v>
      </c>
      <c r="B58" t="s">
        <v>115</v>
      </c>
    </row>
    <row r="59" spans="1:2" x14ac:dyDescent="0.25">
      <c r="A59">
        <v>401</v>
      </c>
      <c r="B59" t="s">
        <v>116</v>
      </c>
    </row>
    <row r="60" spans="1:2" x14ac:dyDescent="0.25">
      <c r="A60">
        <v>402</v>
      </c>
      <c r="B60" t="s">
        <v>117</v>
      </c>
    </row>
    <row r="61" spans="1:2" x14ac:dyDescent="0.25">
      <c r="A61">
        <v>403</v>
      </c>
      <c r="B61" t="s">
        <v>118</v>
      </c>
    </row>
    <row r="62" spans="1:2" x14ac:dyDescent="0.25">
      <c r="A62">
        <v>404</v>
      </c>
      <c r="B62" t="s">
        <v>119</v>
      </c>
    </row>
    <row r="63" spans="1:2" x14ac:dyDescent="0.25">
      <c r="A63">
        <v>405</v>
      </c>
      <c r="B63" t="s">
        <v>120</v>
      </c>
    </row>
    <row r="64" spans="1:2" x14ac:dyDescent="0.25">
      <c r="A64">
        <v>406</v>
      </c>
      <c r="B64" t="s">
        <v>121</v>
      </c>
    </row>
    <row r="65" spans="1:2" x14ac:dyDescent="0.25">
      <c r="A65">
        <v>407</v>
      </c>
      <c r="B65" t="s">
        <v>122</v>
      </c>
    </row>
    <row r="66" spans="1:2" x14ac:dyDescent="0.25">
      <c r="A66">
        <v>408</v>
      </c>
      <c r="B66" t="s">
        <v>123</v>
      </c>
    </row>
    <row r="67" spans="1:2" x14ac:dyDescent="0.25">
      <c r="A67">
        <v>409</v>
      </c>
      <c r="B67" t="s">
        <v>124</v>
      </c>
    </row>
    <row r="68" spans="1:2" x14ac:dyDescent="0.25">
      <c r="A68">
        <v>410</v>
      </c>
      <c r="B68" t="s">
        <v>125</v>
      </c>
    </row>
    <row r="69" spans="1:2" x14ac:dyDescent="0.25">
      <c r="A69">
        <v>501</v>
      </c>
      <c r="B69" t="s">
        <v>126</v>
      </c>
    </row>
    <row r="70" spans="1:2" x14ac:dyDescent="0.25">
      <c r="A70">
        <v>502</v>
      </c>
      <c r="B70" t="s">
        <v>127</v>
      </c>
    </row>
    <row r="71" spans="1:2" x14ac:dyDescent="0.25">
      <c r="A71">
        <v>503</v>
      </c>
      <c r="B71" t="s">
        <v>128</v>
      </c>
    </row>
    <row r="72" spans="1:2" x14ac:dyDescent="0.25">
      <c r="A72">
        <v>504</v>
      </c>
      <c r="B72" t="s">
        <v>129</v>
      </c>
    </row>
    <row r="73" spans="1:2" x14ac:dyDescent="0.25">
      <c r="A73">
        <v>505</v>
      </c>
      <c r="B73" t="s">
        <v>130</v>
      </c>
    </row>
    <row r="74" spans="1:2" x14ac:dyDescent="0.25">
      <c r="A74">
        <v>506</v>
      </c>
      <c r="B74" t="s">
        <v>131</v>
      </c>
    </row>
    <row r="75" spans="1:2" x14ac:dyDescent="0.25">
      <c r="A75">
        <v>507</v>
      </c>
      <c r="B75" t="s">
        <v>132</v>
      </c>
    </row>
    <row r="76" spans="1:2" x14ac:dyDescent="0.25">
      <c r="A76">
        <v>901</v>
      </c>
      <c r="B76" t="s">
        <v>133</v>
      </c>
    </row>
    <row r="77" spans="1:2" x14ac:dyDescent="0.25">
      <c r="A77">
        <v>902</v>
      </c>
      <c r="B77" t="s">
        <v>134</v>
      </c>
    </row>
    <row r="78" spans="1:2" x14ac:dyDescent="0.25">
      <c r="A78">
        <v>903</v>
      </c>
      <c r="B78" t="s">
        <v>135</v>
      </c>
    </row>
    <row r="79" spans="1:2" x14ac:dyDescent="0.25">
      <c r="A79">
        <v>904</v>
      </c>
      <c r="B79" t="s">
        <v>136</v>
      </c>
    </row>
    <row r="80" spans="1:2" x14ac:dyDescent="0.25">
      <c r="A80">
        <v>905</v>
      </c>
      <c r="B80" t="s">
        <v>137</v>
      </c>
    </row>
    <row r="81" spans="1:2" x14ac:dyDescent="0.25">
      <c r="A81">
        <v>906</v>
      </c>
      <c r="B81" t="s">
        <v>138</v>
      </c>
    </row>
    <row r="82" spans="1:2" x14ac:dyDescent="0.25">
      <c r="A82">
        <v>907</v>
      </c>
      <c r="B82" t="s">
        <v>139</v>
      </c>
    </row>
    <row r="83" spans="1:2" x14ac:dyDescent="0.25">
      <c r="A83">
        <v>908</v>
      </c>
      <c r="B83" t="s">
        <v>140</v>
      </c>
    </row>
    <row r="84" spans="1:2" x14ac:dyDescent="0.25">
      <c r="A84">
        <v>909</v>
      </c>
      <c r="B84" t="s">
        <v>141</v>
      </c>
    </row>
    <row r="85" spans="1:2" x14ac:dyDescent="0.25">
      <c r="A85">
        <v>910</v>
      </c>
      <c r="B85" t="s">
        <v>142</v>
      </c>
    </row>
    <row r="86" spans="1:2" x14ac:dyDescent="0.25">
      <c r="A86">
        <v>911</v>
      </c>
      <c r="B86" t="s">
        <v>143</v>
      </c>
    </row>
    <row r="87" spans="1:2" x14ac:dyDescent="0.25">
      <c r="A87">
        <v>912</v>
      </c>
      <c r="B87" t="s">
        <v>144</v>
      </c>
    </row>
    <row r="88" spans="1:2" x14ac:dyDescent="0.25">
      <c r="A88">
        <v>913</v>
      </c>
      <c r="B88" t="s">
        <v>145</v>
      </c>
    </row>
    <row r="89" spans="1:2" x14ac:dyDescent="0.25">
      <c r="A89">
        <v>914</v>
      </c>
      <c r="B89" t="s">
        <v>146</v>
      </c>
    </row>
    <row r="90" spans="1:2" x14ac:dyDescent="0.25">
      <c r="A90">
        <v>915</v>
      </c>
      <c r="B90" t="s">
        <v>147</v>
      </c>
    </row>
    <row r="91" spans="1:2" x14ac:dyDescent="0.25">
      <c r="A91">
        <v>916</v>
      </c>
      <c r="B91" t="s">
        <v>148</v>
      </c>
    </row>
    <row r="92" spans="1:2" x14ac:dyDescent="0.25">
      <c r="A92">
        <v>917</v>
      </c>
      <c r="B92" t="s">
        <v>149</v>
      </c>
    </row>
    <row r="93" spans="1:2" x14ac:dyDescent="0.25">
      <c r="A93">
        <v>918</v>
      </c>
      <c r="B93" t="s">
        <v>150</v>
      </c>
    </row>
    <row r="94" spans="1:2" x14ac:dyDescent="0.25">
      <c r="A94">
        <v>919</v>
      </c>
      <c r="B94" t="s">
        <v>151</v>
      </c>
    </row>
    <row r="95" spans="1:2" x14ac:dyDescent="0.25">
      <c r="A95">
        <v>920</v>
      </c>
      <c r="B95" t="s">
        <v>152</v>
      </c>
    </row>
    <row r="96" spans="1:2" x14ac:dyDescent="0.25">
      <c r="A96">
        <v>921</v>
      </c>
      <c r="B96" t="s">
        <v>153</v>
      </c>
    </row>
    <row r="97" spans="1:2" x14ac:dyDescent="0.25">
      <c r="A97">
        <v>922</v>
      </c>
      <c r="B97" t="s">
        <v>154</v>
      </c>
    </row>
    <row r="98" spans="1:2" x14ac:dyDescent="0.25">
      <c r="A98">
        <v>923</v>
      </c>
      <c r="B98" t="s">
        <v>155</v>
      </c>
    </row>
    <row r="99" spans="1:2" x14ac:dyDescent="0.25">
      <c r="A99">
        <v>924</v>
      </c>
      <c r="B99" t="s">
        <v>156</v>
      </c>
    </row>
    <row r="100" spans="1:2" x14ac:dyDescent="0.25">
      <c r="A100">
        <v>925</v>
      </c>
      <c r="B100" t="s">
        <v>157</v>
      </c>
    </row>
    <row r="101" spans="1:2" x14ac:dyDescent="0.25">
      <c r="A101">
        <v>926</v>
      </c>
      <c r="B101" t="s">
        <v>158</v>
      </c>
    </row>
    <row r="102" spans="1:2" x14ac:dyDescent="0.25">
      <c r="A102">
        <v>927</v>
      </c>
      <c r="B102" t="s">
        <v>159</v>
      </c>
    </row>
    <row r="103" spans="1:2" x14ac:dyDescent="0.25">
      <c r="A103">
        <v>928</v>
      </c>
      <c r="B103" t="s">
        <v>160</v>
      </c>
    </row>
    <row r="104" spans="1:2" x14ac:dyDescent="0.25">
      <c r="A104">
        <v>929</v>
      </c>
      <c r="B104" t="s">
        <v>161</v>
      </c>
    </row>
    <row r="105" spans="1:2" x14ac:dyDescent="0.25">
      <c r="A105">
        <v>601</v>
      </c>
      <c r="B105" t="s">
        <v>162</v>
      </c>
    </row>
    <row r="106" spans="1:2" x14ac:dyDescent="0.25">
      <c r="A106">
        <v>602</v>
      </c>
      <c r="B106" t="s">
        <v>28</v>
      </c>
    </row>
    <row r="107" spans="1:2" x14ac:dyDescent="0.25">
      <c r="A107">
        <v>605</v>
      </c>
      <c r="B107" t="s">
        <v>163</v>
      </c>
    </row>
    <row r="108" spans="1:2" x14ac:dyDescent="0.25">
      <c r="A108">
        <v>606</v>
      </c>
      <c r="B108" t="s">
        <v>164</v>
      </c>
    </row>
    <row r="109" spans="1:2" x14ac:dyDescent="0.25">
      <c r="A109">
        <v>608</v>
      </c>
      <c r="B109" t="s">
        <v>165</v>
      </c>
    </row>
    <row r="110" spans="1:2" x14ac:dyDescent="0.25">
      <c r="A110">
        <v>609</v>
      </c>
      <c r="B110" t="s">
        <v>166</v>
      </c>
    </row>
    <row r="111" spans="1:2" x14ac:dyDescent="0.25">
      <c r="A111">
        <v>611</v>
      </c>
      <c r="B111" t="s">
        <v>167</v>
      </c>
    </row>
    <row r="112" spans="1:2" x14ac:dyDescent="0.25">
      <c r="A112">
        <v>613</v>
      </c>
      <c r="B112" t="s">
        <v>168</v>
      </c>
    </row>
    <row r="113" spans="1:2" x14ac:dyDescent="0.25">
      <c r="A113">
        <v>614</v>
      </c>
      <c r="B113" t="s">
        <v>169</v>
      </c>
    </row>
    <row r="114" spans="1:2" x14ac:dyDescent="0.25">
      <c r="A114">
        <v>615</v>
      </c>
      <c r="B114" t="s">
        <v>170</v>
      </c>
    </row>
    <row r="115" spans="1:2" x14ac:dyDescent="0.25">
      <c r="A115">
        <v>617</v>
      </c>
      <c r="B115" t="s">
        <v>171</v>
      </c>
    </row>
    <row r="116" spans="1:2" x14ac:dyDescent="0.25">
      <c r="A116">
        <v>618</v>
      </c>
      <c r="B116" t="s">
        <v>172</v>
      </c>
    </row>
    <row r="117" spans="1:2" x14ac:dyDescent="0.25">
      <c r="A117">
        <v>619</v>
      </c>
      <c r="B117" t="s">
        <v>173</v>
      </c>
    </row>
    <row r="118" spans="1:2" x14ac:dyDescent="0.25">
      <c r="A118">
        <v>620</v>
      </c>
      <c r="B118" t="s">
        <v>174</v>
      </c>
    </row>
    <row r="119" spans="1:2" x14ac:dyDescent="0.25">
      <c r="A119">
        <v>621</v>
      </c>
      <c r="B119" t="s">
        <v>175</v>
      </c>
    </row>
    <row r="120" spans="1:2" x14ac:dyDescent="0.25">
      <c r="A120">
        <v>701</v>
      </c>
      <c r="B120" t="s">
        <v>26</v>
      </c>
    </row>
    <row r="121" spans="1:2" x14ac:dyDescent="0.25">
      <c r="A121">
        <v>702</v>
      </c>
      <c r="B121" t="s">
        <v>176</v>
      </c>
    </row>
    <row r="122" spans="1:2" x14ac:dyDescent="0.25">
      <c r="A122">
        <v>703</v>
      </c>
      <c r="B122" t="s">
        <v>177</v>
      </c>
    </row>
    <row r="123" spans="1:2" x14ac:dyDescent="0.25">
      <c r="A123">
        <v>704</v>
      </c>
      <c r="B123" t="s">
        <v>178</v>
      </c>
    </row>
    <row r="124" spans="1:2" x14ac:dyDescent="0.25">
      <c r="A124">
        <v>705</v>
      </c>
      <c r="B124" t="s">
        <v>179</v>
      </c>
    </row>
    <row r="125" spans="1:2" x14ac:dyDescent="0.25">
      <c r="A125">
        <v>706</v>
      </c>
      <c r="B125" t="s">
        <v>180</v>
      </c>
    </row>
    <row r="126" spans="1:2" x14ac:dyDescent="0.25">
      <c r="A126">
        <v>707</v>
      </c>
      <c r="B126" t="s">
        <v>181</v>
      </c>
    </row>
    <row r="127" spans="1:2" x14ac:dyDescent="0.25">
      <c r="A127">
        <v>800</v>
      </c>
      <c r="B127" t="s">
        <v>182</v>
      </c>
    </row>
    <row r="128" spans="1:2" x14ac:dyDescent="0.25">
      <c r="A128">
        <v>801</v>
      </c>
      <c r="B128" t="s">
        <v>166</v>
      </c>
    </row>
    <row r="129" spans="1:2" x14ac:dyDescent="0.25">
      <c r="A129">
        <v>803</v>
      </c>
      <c r="B129" t="s">
        <v>183</v>
      </c>
    </row>
    <row r="130" spans="1:2" x14ac:dyDescent="0.25">
      <c r="A130">
        <v>805</v>
      </c>
      <c r="B130" t="s">
        <v>184</v>
      </c>
    </row>
    <row r="131" spans="1:2" x14ac:dyDescent="0.25">
      <c r="A131">
        <v>807</v>
      </c>
      <c r="B131" t="s">
        <v>185</v>
      </c>
    </row>
    <row r="132" spans="1:2" x14ac:dyDescent="0.25">
      <c r="A132">
        <v>809</v>
      </c>
      <c r="B132" t="s">
        <v>186</v>
      </c>
    </row>
    <row r="133" spans="1:2" x14ac:dyDescent="0.25">
      <c r="A133">
        <v>810</v>
      </c>
      <c r="B133" t="s">
        <v>187</v>
      </c>
    </row>
    <row r="134" spans="1:2" x14ac:dyDescent="0.25">
      <c r="A134">
        <v>811</v>
      </c>
      <c r="B134" t="s">
        <v>188</v>
      </c>
    </row>
    <row r="135" spans="1:2" x14ac:dyDescent="0.25">
      <c r="A135" s="42">
        <v>2039</v>
      </c>
      <c r="B135" s="42" t="s">
        <v>219</v>
      </c>
    </row>
    <row r="136" spans="1:2" x14ac:dyDescent="0.25">
      <c r="A136" s="42">
        <v>2040</v>
      </c>
      <c r="B136" s="42" t="s">
        <v>241</v>
      </c>
    </row>
    <row r="137" spans="1:2" x14ac:dyDescent="0.25">
      <c r="A137" s="42">
        <v>2041</v>
      </c>
      <c r="B137" s="42" t="s">
        <v>242</v>
      </c>
    </row>
    <row r="138" spans="1:2" x14ac:dyDescent="0.25">
      <c r="A138" s="42">
        <v>2042</v>
      </c>
      <c r="B138" s="42" t="s">
        <v>243</v>
      </c>
    </row>
    <row r="139" spans="1:2" x14ac:dyDescent="0.25">
      <c r="A139" s="42">
        <v>2043</v>
      </c>
      <c r="B139" s="42" t="s">
        <v>220</v>
      </c>
    </row>
    <row r="140" spans="1:2" x14ac:dyDescent="0.25">
      <c r="A140" s="42">
        <v>2044</v>
      </c>
      <c r="B140" s="42" t="s">
        <v>221</v>
      </c>
    </row>
    <row r="141" spans="1:2" x14ac:dyDescent="0.25">
      <c r="A141" s="42">
        <v>2045</v>
      </c>
      <c r="B141" s="42" t="s">
        <v>222</v>
      </c>
    </row>
    <row r="142" spans="1:2" x14ac:dyDescent="0.25">
      <c r="A142" s="42">
        <v>2046</v>
      </c>
      <c r="B142" s="42" t="s">
        <v>244</v>
      </c>
    </row>
    <row r="143" spans="1:2" x14ac:dyDescent="0.25">
      <c r="A143" s="42">
        <v>2047</v>
      </c>
      <c r="B143" s="42" t="s">
        <v>245</v>
      </c>
    </row>
    <row r="144" spans="1:2" x14ac:dyDescent="0.25">
      <c r="A144" s="42">
        <v>2048</v>
      </c>
      <c r="B144" s="42" t="s">
        <v>246</v>
      </c>
    </row>
    <row r="145" spans="1:2" x14ac:dyDescent="0.25">
      <c r="A145" s="42">
        <v>2049</v>
      </c>
      <c r="B145" s="42" t="s">
        <v>247</v>
      </c>
    </row>
    <row r="146" spans="1:2" x14ac:dyDescent="0.25">
      <c r="A146" s="42">
        <v>2050</v>
      </c>
      <c r="B146" s="42" t="s">
        <v>248</v>
      </c>
    </row>
    <row r="147" spans="1:2" x14ac:dyDescent="0.25">
      <c r="A147" s="42">
        <v>2051</v>
      </c>
      <c r="B147" s="42" t="s">
        <v>249</v>
      </c>
    </row>
    <row r="148" spans="1:2" x14ac:dyDescent="0.25">
      <c r="A148" s="42">
        <v>2052</v>
      </c>
      <c r="B148" s="42" t="s">
        <v>250</v>
      </c>
    </row>
    <row r="149" spans="1:2" x14ac:dyDescent="0.25">
      <c r="A149" s="42">
        <v>2053</v>
      </c>
      <c r="B149" s="42" t="s">
        <v>251</v>
      </c>
    </row>
    <row r="150" spans="1:2" x14ac:dyDescent="0.25">
      <c r="A150" s="42">
        <v>2054</v>
      </c>
      <c r="B150" s="42" t="s">
        <v>252</v>
      </c>
    </row>
    <row r="151" spans="1:2" x14ac:dyDescent="0.25">
      <c r="A151" s="42">
        <v>2055</v>
      </c>
      <c r="B151" s="42" t="s">
        <v>253</v>
      </c>
    </row>
    <row r="152" spans="1:2" x14ac:dyDescent="0.25">
      <c r="A152" s="42">
        <v>2056</v>
      </c>
      <c r="B152" s="42" t="s">
        <v>254</v>
      </c>
    </row>
    <row r="153" spans="1:2" x14ac:dyDescent="0.25">
      <c r="A153" s="42">
        <v>2057</v>
      </c>
      <c r="B153" s="42" t="s">
        <v>255</v>
      </c>
    </row>
    <row r="154" spans="1:2" x14ac:dyDescent="0.25">
      <c r="A154" s="42">
        <v>2058</v>
      </c>
      <c r="B154" s="42" t="s">
        <v>256</v>
      </c>
    </row>
    <row r="155" spans="1:2" x14ac:dyDescent="0.25">
      <c r="A155" s="42">
        <v>2059</v>
      </c>
      <c r="B155" s="42" t="s">
        <v>257</v>
      </c>
    </row>
    <row r="156" spans="1:2" x14ac:dyDescent="0.25">
      <c r="A156" s="42">
        <v>2060</v>
      </c>
      <c r="B156" s="42" t="s">
        <v>258</v>
      </c>
    </row>
    <row r="157" spans="1:2" x14ac:dyDescent="0.25">
      <c r="A157" s="42">
        <v>2061</v>
      </c>
      <c r="B157" s="42" t="s">
        <v>259</v>
      </c>
    </row>
    <row r="158" spans="1:2" x14ac:dyDescent="0.25">
      <c r="A158" s="42">
        <v>2062</v>
      </c>
      <c r="B158" s="42" t="s">
        <v>260</v>
      </c>
    </row>
    <row r="159" spans="1:2" x14ac:dyDescent="0.25">
      <c r="A159" s="42">
        <v>2063</v>
      </c>
      <c r="B159" s="42" t="s">
        <v>261</v>
      </c>
    </row>
    <row r="160" spans="1:2" x14ac:dyDescent="0.25">
      <c r="A160" s="42">
        <v>2064</v>
      </c>
      <c r="B160" s="42" t="s">
        <v>262</v>
      </c>
    </row>
    <row r="161" spans="1:2" x14ac:dyDescent="0.25">
      <c r="A161" s="42">
        <v>2065</v>
      </c>
      <c r="B161" s="42" t="s">
        <v>263</v>
      </c>
    </row>
    <row r="162" spans="1:2" x14ac:dyDescent="0.25">
      <c r="A162" s="42">
        <v>2066</v>
      </c>
      <c r="B162" s="42" t="s">
        <v>264</v>
      </c>
    </row>
    <row r="163" spans="1:2" x14ac:dyDescent="0.25">
      <c r="A163" s="42">
        <v>2067</v>
      </c>
      <c r="B163" s="42" t="s">
        <v>265</v>
      </c>
    </row>
    <row r="164" spans="1:2" x14ac:dyDescent="0.25">
      <c r="A164" s="42">
        <v>2068</v>
      </c>
      <c r="B164" s="42" t="s">
        <v>266</v>
      </c>
    </row>
    <row r="165" spans="1:2" x14ac:dyDescent="0.25">
      <c r="A165" s="42">
        <v>2069</v>
      </c>
      <c r="B165" s="42" t="s">
        <v>267</v>
      </c>
    </row>
    <row r="166" spans="1:2" x14ac:dyDescent="0.25">
      <c r="A166" s="42">
        <v>2070</v>
      </c>
      <c r="B166" s="42" t="s">
        <v>268</v>
      </c>
    </row>
    <row r="167" spans="1:2" x14ac:dyDescent="0.25">
      <c r="A167" s="42">
        <v>2071</v>
      </c>
      <c r="B167" s="42" t="s">
        <v>269</v>
      </c>
    </row>
    <row r="168" spans="1:2" x14ac:dyDescent="0.25">
      <c r="A168" s="42">
        <v>2072</v>
      </c>
      <c r="B168" s="42" t="s">
        <v>270</v>
      </c>
    </row>
    <row r="169" spans="1:2" x14ac:dyDescent="0.25">
      <c r="A169" s="42">
        <v>2073</v>
      </c>
      <c r="B169" s="42" t="s">
        <v>271</v>
      </c>
    </row>
    <row r="170" spans="1:2" x14ac:dyDescent="0.25">
      <c r="A170" s="42">
        <v>2074</v>
      </c>
      <c r="B170" s="42" t="s">
        <v>223</v>
      </c>
    </row>
    <row r="171" spans="1:2" x14ac:dyDescent="0.25">
      <c r="A171" s="42">
        <v>2075</v>
      </c>
      <c r="B171" s="42" t="s">
        <v>224</v>
      </c>
    </row>
    <row r="172" spans="1:2" x14ac:dyDescent="0.25">
      <c r="A172" s="42">
        <v>2076</v>
      </c>
      <c r="B172" s="42" t="s">
        <v>225</v>
      </c>
    </row>
    <row r="173" spans="1:2" x14ac:dyDescent="0.25">
      <c r="A173" s="42">
        <v>2077</v>
      </c>
      <c r="B173" s="42" t="s">
        <v>226</v>
      </c>
    </row>
    <row r="174" spans="1:2" x14ac:dyDescent="0.25">
      <c r="A174" s="42">
        <v>2078</v>
      </c>
      <c r="B174" s="42" t="s">
        <v>227</v>
      </c>
    </row>
    <row r="175" spans="1:2" x14ac:dyDescent="0.25">
      <c r="A175" s="42">
        <v>2079</v>
      </c>
      <c r="B175" s="42" t="s">
        <v>228</v>
      </c>
    </row>
    <row r="176" spans="1:2" x14ac:dyDescent="0.25">
      <c r="A176" s="42">
        <v>2080</v>
      </c>
      <c r="B176" s="42" t="s">
        <v>229</v>
      </c>
    </row>
    <row r="177" spans="1:2" x14ac:dyDescent="0.25">
      <c r="A177" s="42">
        <v>2081</v>
      </c>
      <c r="B177" s="42" t="s">
        <v>230</v>
      </c>
    </row>
    <row r="178" spans="1:2" x14ac:dyDescent="0.25">
      <c r="A178" s="42">
        <v>2082</v>
      </c>
      <c r="B178" s="42" t="s">
        <v>231</v>
      </c>
    </row>
    <row r="179" spans="1:2" x14ac:dyDescent="0.25">
      <c r="A179" s="42">
        <v>2083</v>
      </c>
      <c r="B179" s="42" t="s">
        <v>232</v>
      </c>
    </row>
    <row r="180" spans="1:2" x14ac:dyDescent="0.25">
      <c r="A180" s="42">
        <v>2084</v>
      </c>
      <c r="B180" s="42" t="s">
        <v>233</v>
      </c>
    </row>
    <row r="181" spans="1:2" x14ac:dyDescent="0.25">
      <c r="A181" s="42">
        <v>2085</v>
      </c>
      <c r="B181" s="42" t="s">
        <v>234</v>
      </c>
    </row>
    <row r="182" spans="1:2" x14ac:dyDescent="0.25">
      <c r="A182" s="42">
        <v>2086</v>
      </c>
      <c r="B182" s="42" t="s">
        <v>235</v>
      </c>
    </row>
    <row r="183" spans="1:2" x14ac:dyDescent="0.25">
      <c r="A183" s="42">
        <v>2087</v>
      </c>
      <c r="B183" s="42" t="s">
        <v>236</v>
      </c>
    </row>
    <row r="184" spans="1:2" x14ac:dyDescent="0.25">
      <c r="A184" s="42">
        <v>2088</v>
      </c>
      <c r="B184" s="42" t="s">
        <v>237</v>
      </c>
    </row>
    <row r="185" spans="1:2" x14ac:dyDescent="0.25">
      <c r="A185" s="42">
        <v>2089</v>
      </c>
      <c r="B185" s="42" t="s">
        <v>238</v>
      </c>
    </row>
    <row r="186" spans="1:2" x14ac:dyDescent="0.25">
      <c r="A186" s="42">
        <v>2090</v>
      </c>
      <c r="B186" s="42" t="s">
        <v>239</v>
      </c>
    </row>
    <row r="187" spans="1:2" x14ac:dyDescent="0.25">
      <c r="A187" s="42">
        <v>2091</v>
      </c>
      <c r="B187" s="42" t="s">
        <v>240</v>
      </c>
    </row>
  </sheetData>
  <autoFilter ref="A3:B134" xr:uid="{00000000-0009-0000-0000-000003000000}"/>
  <pageMargins left="0.7" right="0.7" top="0.75" bottom="0.75" header="0.3" footer="0.3"/>
  <pageSetup orientation="portrait" horizontalDpi="0" verticalDpi="0" r:id="rId1"/>
</worksheet>
</file>

<file path=customUI/_rels/customUI14.xml.rels><?xml version="1.0" encoding="UTF-8" standalone="yes"?>
<Relationships xmlns="http://schemas.openxmlformats.org/package/2006/relationships"><Relationship Id="ImgAgregar" Type="http://schemas.openxmlformats.org/officeDocument/2006/relationships/image" Target="images/ImgAgregar.png"/><Relationship Id="ImgDisc2" Type="http://schemas.openxmlformats.org/officeDocument/2006/relationships/image" Target="images/ImgDisc2.png"/><Relationship Id="ImgSunat1" Type="http://schemas.openxmlformats.org/officeDocument/2006/relationships/image" Target="images/ImgSunat1.png"/><Relationship Id="ImgLimpiar2" Type="http://schemas.openxmlformats.org/officeDocument/2006/relationships/image" Target="images/ImgLimpiar2.png"/><Relationship Id="ImgKardex1" Type="http://schemas.openxmlformats.org/officeDocument/2006/relationships/image" Target="images/ImgKardex1.png"/></Relationships>
</file>

<file path=customUI/customUI14.xml><?xml version="1.0" encoding="utf-8"?>
<customUI xmlns="http://schemas.microsoft.com/office/2009/07/customui">
  <ribbon startFromScratch="false">
    <tabs>
      <tab id="customTab" label="PLAME">
        <group id="Grupo1" label="Estructura PDT PLAME">
          <button id="vButton1" label="Trabajadores" image="ImgSunat1" size="large" onAction="xTrabajadores"/>
          <separator id="Sep1"/>
          <button id="vButton2" label="Prestadores" image="ImgSunat1" size="large" onAction="xPrestadores"/>
        </group>
        <group id="Grupo2" label="Guardar y Eliminar">
          <box id="Box1" boxStyle="vertical">
            <button id="vButton3" label="Elegir Carpeta" image="ImgDisc2" onAction="xCarpeta"/>
            <button id="vButton4" label="Eliminar Registros" image="ImgLimpiar2" onAction="xLimpiar"/>
          </box>
        </group>
        <group id="Grupo3" label="Agregar Conceptos">
          <menu id="MiMenu2" label="INGRESOS" size="large" itemSize="large" image="ImgAgregar">
            <button id="vButton5" label="Ingresos" image="ImgAgregar" onAction="xIngresos"/>
            <button id="vButton6" label="Asignaciones" image="ImgAgregar" onAction="xAsignaciones"/>
            <button id="vButton7" label="Bonificaciones" image="ImgAgregar" onAction="xBonificaciones"/>
            <button id="vButton8" label="Gratificaciones" image="ImgAgregar" onAction="xGratificaciones"/>
            <button id="vButton9" label="Indemnizaciones" image="ImgAgregar" onAction="xIndemnizaciones"/>
            <button id="vButton10" label="Conceptos Varios" image="ImgAgregar" onAction="xConceptosVarios"/>
          </menu>
          <separator id="Sep2"/>
          <box id="Box2" boxStyle="vertical">
            <button id="vButton11" label="Aportes del Trabajador" image="ImgAgregar" onAction="xAportesTrabajador"/>
            <button id="vButton12" label="Descuentos al Trabajador" image="ImgAgregar" onAction="xDescuentosTrabajador"/>
            <button id="vButton14" label="Aportes del Empleador" image="ImgAgregar" onAction="xAportesEmpleador"/>
          </box>
          <separator id="Sep3"/>
          <button id="vButton15" label="Dias No Laborados" size="large" image="ImgAgregar" onAction="xDiasNoLaborados"/>
        </group>
        <group id="Grupo4" label="Ocultar y Mostrar">
          <menu id="MiMenu1" label="Estructuras PDT PLAME" size="large" image="ImgKardex1" itemSize="large">
            <checkBox id="CheckBox1" label="E14: Jornada Laboral" getPressed="CheckBox1_StartUp" onAction="xExtructura14"/>
            <checkBox id="CheckBox2" label="E12: Otras Rentas de 5Ta" getPressed="CheckBox2_StartUp" onAction="xExtructura12"/>
            <checkBox id="CheckBox3" label="E25: Tasas Sctr-Essalud/IES" getPressed="CheckBox3_StartUp" onAction="xExtructura25"/>
            <checkBox id="CheckBox4" label="E26: Otras Condiciones" getPressed="CheckBox4_StartUp" onAction="xExtructura26"/>
            <checkBox id="CheckBox5" label="E15: Días Subs. y Otros No Lab." getPressed="CheckBox5_StartUp" onAction="xExtructura15"/>
            <checkBox id="CheckBox6" label="E18: Ing., Trib. y Desc." getPressed="CheckBox6_StartUp" onAction="xExtructura18"/>
          </menu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</vt:lpstr>
      <vt:lpstr>Trabajadores</vt:lpstr>
      <vt:lpstr>PS4TA</vt:lpstr>
      <vt:lpstr>T22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WVC</dc:creator>
  <cp:lastModifiedBy>USER</cp:lastModifiedBy>
  <dcterms:created xsi:type="dcterms:W3CDTF">2018-10-17T21:48:23Z</dcterms:created>
  <dcterms:modified xsi:type="dcterms:W3CDTF">2026-01-26T15:50:08Z</dcterms:modified>
</cp:coreProperties>
</file>